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OneDrive\Familia\AutoMail\"/>
    </mc:Choice>
  </mc:AlternateContent>
  <xr:revisionPtr revIDLastSave="0" documentId="8_{AF3E9231-E0B6-4BA7-B4F4-9AB53FE2882F}" xr6:coauthVersionLast="47" xr6:coauthVersionMax="47" xr10:uidLastSave="{00000000-0000-0000-0000-000000000000}"/>
  <bookViews>
    <workbookView xWindow="-120" yWindow="-120" windowWidth="20730" windowHeight="11040" tabRatio="802" xr2:uid="{00000000-000D-0000-FFFF-FFFF00000000}"/>
  </bookViews>
  <sheets>
    <sheet name="Resumen" sheetId="12" r:id="rId1"/>
    <sheet name="Eventos B2B_MKT y Turnos DT" sheetId="15" r:id="rId2"/>
    <sheet name="Incidencias" sheetId="16" r:id="rId3"/>
    <sheet name="Detalle para terapeutas" sheetId="4" r:id="rId4"/>
    <sheet name="BASE" sheetId="8" r:id="rId5"/>
    <sheet name="Nómina" sheetId="13" state="hidden" r:id="rId6"/>
    <sheet name="Cobro Hoteles" sheetId="9" state="hidden" r:id="rId7"/>
    <sheet name="Precios" sheetId="10" state="hidden" r:id="rId8"/>
    <sheet name="listas" sheetId="11" state="hidden" r:id="rId9"/>
  </sheets>
  <definedNames>
    <definedName name="_xlnm._FilterDatabase" localSheetId="4" hidden="1">BASE!$A$2:$BC$201</definedName>
    <definedName name="_xlnm._FilterDatabase" localSheetId="6" hidden="1">'Cobro Hoteles'!$A$2:$U$3</definedName>
    <definedName name="_xlnm._FilterDatabase" localSheetId="1" hidden="1">'Eventos B2B_MKT y Turnos DT'!$B$5:$K$22</definedName>
    <definedName name="_xlnm._FilterDatabase" localSheetId="0" hidden="1">Resumen!$B$5:$U$83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1SG63QtqFIY0uXhMtcis41xSrXxgCU+x12RvBsgnCAI="/>
    </ext>
  </extLst>
</workbook>
</file>

<file path=xl/calcChain.xml><?xml version="1.0" encoding="utf-8"?>
<calcChain xmlns="http://schemas.openxmlformats.org/spreadsheetml/2006/main">
  <c r="T57" i="12" l="1"/>
  <c r="Q76" i="12"/>
  <c r="Q75" i="12"/>
  <c r="Q74" i="12"/>
  <c r="Q73" i="12"/>
  <c r="Q71" i="12"/>
  <c r="Q70" i="12"/>
  <c r="Q69" i="12"/>
  <c r="Q68" i="12"/>
  <c r="Q58" i="12"/>
  <c r="Q55" i="12"/>
  <c r="Q54" i="12"/>
  <c r="Q44" i="12"/>
  <c r="Q43" i="12"/>
  <c r="Q42" i="12"/>
  <c r="Q41" i="12"/>
  <c r="Q37" i="12"/>
  <c r="Q29" i="12"/>
  <c r="Q26" i="12"/>
  <c r="Q25" i="12"/>
  <c r="Q23" i="12"/>
  <c r="Q14" i="12"/>
  <c r="D23" i="12" l="1"/>
  <c r="D14" i="12"/>
  <c r="D7" i="12"/>
  <c r="A187" i="8"/>
  <c r="B187" i="8" s="1"/>
  <c r="D187" i="8"/>
  <c r="F187" i="8"/>
  <c r="G187" i="8"/>
  <c r="H187" i="8"/>
  <c r="I187" i="8"/>
  <c r="J187" i="8"/>
  <c r="K187" i="8"/>
  <c r="L187" i="8"/>
  <c r="M187" i="8"/>
  <c r="N187" i="8"/>
  <c r="O187" i="8"/>
  <c r="E187" i="8" s="1"/>
  <c r="P187" i="8"/>
  <c r="R187" i="8"/>
  <c r="S187" i="8"/>
  <c r="T187" i="8" s="1"/>
  <c r="A188" i="8"/>
  <c r="B188" i="8" s="1"/>
  <c r="D188" i="8"/>
  <c r="F188" i="8"/>
  <c r="G188" i="8"/>
  <c r="H188" i="8"/>
  <c r="I188" i="8"/>
  <c r="J188" i="8"/>
  <c r="K188" i="8"/>
  <c r="L188" i="8"/>
  <c r="M188" i="8"/>
  <c r="N188" i="8"/>
  <c r="O188" i="8"/>
  <c r="E188" i="8" s="1"/>
  <c r="P188" i="8"/>
  <c r="R188" i="8"/>
  <c r="S188" i="8"/>
  <c r="T188" i="8" s="1"/>
  <c r="A189" i="8"/>
  <c r="B189" i="8" s="1"/>
  <c r="D189" i="8"/>
  <c r="F189" i="8"/>
  <c r="G189" i="8"/>
  <c r="H189" i="8"/>
  <c r="I189" i="8"/>
  <c r="J189" i="8"/>
  <c r="K189" i="8"/>
  <c r="L189" i="8"/>
  <c r="M189" i="8"/>
  <c r="N189" i="8"/>
  <c r="O189" i="8"/>
  <c r="E189" i="8" s="1"/>
  <c r="P189" i="8"/>
  <c r="R189" i="8"/>
  <c r="S189" i="8"/>
  <c r="T189" i="8" s="1"/>
  <c r="A190" i="8"/>
  <c r="B190" i="8" s="1"/>
  <c r="D190" i="8"/>
  <c r="F190" i="8"/>
  <c r="G190" i="8"/>
  <c r="H190" i="8"/>
  <c r="I190" i="8"/>
  <c r="J190" i="8"/>
  <c r="K190" i="8"/>
  <c r="L190" i="8"/>
  <c r="M190" i="8"/>
  <c r="N190" i="8"/>
  <c r="O190" i="8"/>
  <c r="E190" i="8" s="1"/>
  <c r="P190" i="8"/>
  <c r="R190" i="8"/>
  <c r="S190" i="8"/>
  <c r="T190" i="8" s="1"/>
  <c r="A191" i="8"/>
  <c r="B191" i="8" s="1"/>
  <c r="D191" i="8"/>
  <c r="F191" i="8"/>
  <c r="G191" i="8"/>
  <c r="H191" i="8"/>
  <c r="I191" i="8"/>
  <c r="J191" i="8"/>
  <c r="K191" i="8"/>
  <c r="L191" i="8"/>
  <c r="M191" i="8"/>
  <c r="N191" i="8"/>
  <c r="O191" i="8"/>
  <c r="E191" i="8" s="1"/>
  <c r="P191" i="8"/>
  <c r="R191" i="8"/>
  <c r="S191" i="8"/>
  <c r="T191" i="8" s="1"/>
  <c r="A192" i="8"/>
  <c r="B192" i="8" s="1"/>
  <c r="D192" i="8"/>
  <c r="F192" i="8"/>
  <c r="G192" i="8"/>
  <c r="H192" i="8"/>
  <c r="I192" i="8"/>
  <c r="J192" i="8"/>
  <c r="K192" i="8"/>
  <c r="L192" i="8"/>
  <c r="M192" i="8"/>
  <c r="N192" i="8"/>
  <c r="O192" i="8"/>
  <c r="E192" i="8" s="1"/>
  <c r="P192" i="8"/>
  <c r="R192" i="8"/>
  <c r="S192" i="8"/>
  <c r="T192" i="8" s="1"/>
  <c r="A193" i="8"/>
  <c r="B193" i="8" s="1"/>
  <c r="D193" i="8"/>
  <c r="F193" i="8"/>
  <c r="G193" i="8"/>
  <c r="H193" i="8"/>
  <c r="I193" i="8"/>
  <c r="J193" i="8"/>
  <c r="K193" i="8"/>
  <c r="L193" i="8"/>
  <c r="M193" i="8"/>
  <c r="N193" i="8"/>
  <c r="O193" i="8"/>
  <c r="E193" i="8" s="1"/>
  <c r="P193" i="8"/>
  <c r="R193" i="8"/>
  <c r="S193" i="8"/>
  <c r="T193" i="8" s="1"/>
  <c r="A194" i="8"/>
  <c r="B194" i="8" s="1"/>
  <c r="D194" i="8"/>
  <c r="F194" i="8"/>
  <c r="G194" i="8"/>
  <c r="H194" i="8"/>
  <c r="I194" i="8"/>
  <c r="J194" i="8"/>
  <c r="K194" i="8"/>
  <c r="L194" i="8"/>
  <c r="M194" i="8"/>
  <c r="N194" i="8"/>
  <c r="O194" i="8"/>
  <c r="E194" i="8" s="1"/>
  <c r="P194" i="8"/>
  <c r="R194" i="8"/>
  <c r="S194" i="8"/>
  <c r="T194" i="8" s="1"/>
  <c r="A195" i="8"/>
  <c r="B195" i="8" s="1"/>
  <c r="D195" i="8"/>
  <c r="F195" i="8"/>
  <c r="G195" i="8"/>
  <c r="H195" i="8"/>
  <c r="I195" i="8"/>
  <c r="J195" i="8"/>
  <c r="K195" i="8"/>
  <c r="L195" i="8"/>
  <c r="M195" i="8"/>
  <c r="N195" i="8"/>
  <c r="O195" i="8"/>
  <c r="E195" i="8" s="1"/>
  <c r="P195" i="8"/>
  <c r="R195" i="8"/>
  <c r="S195" i="8"/>
  <c r="T195" i="8" s="1"/>
  <c r="A196" i="8"/>
  <c r="B196" i="8" s="1"/>
  <c r="D196" i="8"/>
  <c r="F196" i="8"/>
  <c r="G196" i="8"/>
  <c r="H196" i="8"/>
  <c r="I196" i="8"/>
  <c r="J196" i="8"/>
  <c r="K196" i="8"/>
  <c r="L196" i="8"/>
  <c r="M196" i="8"/>
  <c r="N196" i="8"/>
  <c r="O196" i="8"/>
  <c r="E196" i="8" s="1"/>
  <c r="P196" i="8"/>
  <c r="R196" i="8"/>
  <c r="S196" i="8"/>
  <c r="T196" i="8" s="1"/>
  <c r="A197" i="8"/>
  <c r="B197" i="8" s="1"/>
  <c r="D197" i="8"/>
  <c r="F197" i="8"/>
  <c r="G197" i="8"/>
  <c r="H197" i="8"/>
  <c r="I197" i="8"/>
  <c r="J197" i="8"/>
  <c r="K197" i="8"/>
  <c r="L197" i="8"/>
  <c r="M197" i="8"/>
  <c r="N197" i="8"/>
  <c r="O197" i="8"/>
  <c r="E197" i="8" s="1"/>
  <c r="P197" i="8"/>
  <c r="R197" i="8"/>
  <c r="S197" i="8"/>
  <c r="T197" i="8" s="1"/>
  <c r="A198" i="8"/>
  <c r="B198" i="8" s="1"/>
  <c r="D198" i="8"/>
  <c r="F198" i="8"/>
  <c r="G198" i="8"/>
  <c r="H198" i="8"/>
  <c r="I198" i="8"/>
  <c r="J198" i="8"/>
  <c r="K198" i="8"/>
  <c r="L198" i="8"/>
  <c r="M198" i="8"/>
  <c r="N198" i="8"/>
  <c r="O198" i="8"/>
  <c r="E198" i="8" s="1"/>
  <c r="P198" i="8"/>
  <c r="R198" i="8"/>
  <c r="S198" i="8"/>
  <c r="T198" i="8" s="1"/>
  <c r="A199" i="8"/>
  <c r="B199" i="8" s="1"/>
  <c r="D199" i="8"/>
  <c r="F199" i="8"/>
  <c r="G199" i="8"/>
  <c r="H199" i="8"/>
  <c r="I199" i="8"/>
  <c r="J199" i="8"/>
  <c r="K199" i="8"/>
  <c r="L199" i="8"/>
  <c r="M199" i="8"/>
  <c r="N199" i="8"/>
  <c r="O199" i="8"/>
  <c r="E199" i="8" s="1"/>
  <c r="P199" i="8"/>
  <c r="R199" i="8"/>
  <c r="S199" i="8"/>
  <c r="T199" i="8" s="1"/>
  <c r="A200" i="8"/>
  <c r="B200" i="8" s="1"/>
  <c r="D200" i="8"/>
  <c r="F200" i="8"/>
  <c r="G200" i="8"/>
  <c r="H200" i="8"/>
  <c r="I200" i="8"/>
  <c r="J200" i="8"/>
  <c r="K200" i="8"/>
  <c r="L200" i="8"/>
  <c r="M200" i="8"/>
  <c r="N200" i="8"/>
  <c r="O200" i="8"/>
  <c r="E200" i="8" s="1"/>
  <c r="P200" i="8"/>
  <c r="R200" i="8"/>
  <c r="S200" i="8"/>
  <c r="T200" i="8" s="1"/>
  <c r="A201" i="8"/>
  <c r="B201" i="8" s="1"/>
  <c r="D201" i="8"/>
  <c r="F201" i="8"/>
  <c r="G201" i="8"/>
  <c r="H201" i="8"/>
  <c r="I201" i="8"/>
  <c r="J201" i="8"/>
  <c r="K201" i="8"/>
  <c r="L201" i="8"/>
  <c r="M201" i="8"/>
  <c r="N201" i="8"/>
  <c r="O201" i="8"/>
  <c r="E201" i="8" s="1"/>
  <c r="P201" i="8"/>
  <c r="R201" i="8"/>
  <c r="S201" i="8"/>
  <c r="T201" i="8" s="1"/>
  <c r="C77" i="12"/>
  <c r="B77" i="12"/>
  <c r="M77" i="12" s="1"/>
  <c r="C76" i="12"/>
  <c r="B76" i="12"/>
  <c r="L76" i="12" s="1"/>
  <c r="L75" i="12"/>
  <c r="C75" i="12"/>
  <c r="B75" i="12"/>
  <c r="K75" i="12" s="1"/>
  <c r="M74" i="12"/>
  <c r="K74" i="12"/>
  <c r="C74" i="12"/>
  <c r="B74" i="12"/>
  <c r="L74" i="12" s="1"/>
  <c r="K73" i="12"/>
  <c r="C73" i="12"/>
  <c r="B73" i="12"/>
  <c r="L73" i="12" s="1"/>
  <c r="M72" i="12"/>
  <c r="C72" i="12"/>
  <c r="B72" i="12"/>
  <c r="L72" i="12" s="1"/>
  <c r="L71" i="12"/>
  <c r="K71" i="12"/>
  <c r="C71" i="12"/>
  <c r="B71" i="12"/>
  <c r="N70" i="12"/>
  <c r="M70" i="12"/>
  <c r="K70" i="12"/>
  <c r="C70" i="12"/>
  <c r="B70" i="12"/>
  <c r="L70" i="12" s="1"/>
  <c r="C69" i="12"/>
  <c r="B69" i="12"/>
  <c r="L69" i="12" s="1"/>
  <c r="C68" i="12"/>
  <c r="B68" i="12"/>
  <c r="L68" i="12" s="1"/>
  <c r="C67" i="12"/>
  <c r="B67" i="12"/>
  <c r="L67" i="12" s="1"/>
  <c r="C66" i="12"/>
  <c r="B66" i="12"/>
  <c r="L66" i="12" s="1"/>
  <c r="C65" i="12"/>
  <c r="B65" i="12"/>
  <c r="M64" i="12"/>
  <c r="K64" i="12"/>
  <c r="C64" i="12"/>
  <c r="B64" i="12"/>
  <c r="L64" i="12" s="1"/>
  <c r="L63" i="12"/>
  <c r="K63" i="12"/>
  <c r="C63" i="12"/>
  <c r="B63" i="12"/>
  <c r="M63" i="12" s="1"/>
  <c r="M62" i="12"/>
  <c r="K62" i="12"/>
  <c r="C62" i="12"/>
  <c r="B62" i="12"/>
  <c r="L62" i="12" s="1"/>
  <c r="L61" i="12"/>
  <c r="C61" i="12"/>
  <c r="B61" i="12"/>
  <c r="M61" i="12" s="1"/>
  <c r="M60" i="12"/>
  <c r="K60" i="12"/>
  <c r="C60" i="12"/>
  <c r="B60" i="12"/>
  <c r="L60" i="12" s="1"/>
  <c r="C59" i="12"/>
  <c r="B59" i="12"/>
  <c r="M59" i="12" s="1"/>
  <c r="M58" i="12"/>
  <c r="K58" i="12"/>
  <c r="C58" i="12"/>
  <c r="B58" i="12"/>
  <c r="L58" i="12" s="1"/>
  <c r="M57" i="12"/>
  <c r="L57" i="12"/>
  <c r="K57" i="12"/>
  <c r="C57" i="12"/>
  <c r="B57" i="12"/>
  <c r="C56" i="12"/>
  <c r="B56" i="12"/>
  <c r="L56" i="12" s="1"/>
  <c r="M55" i="12"/>
  <c r="C55" i="12"/>
  <c r="B55" i="12"/>
  <c r="M54" i="12"/>
  <c r="K54" i="12"/>
  <c r="C54" i="12"/>
  <c r="B54" i="12"/>
  <c r="L54" i="12" s="1"/>
  <c r="C53" i="12"/>
  <c r="B53" i="12"/>
  <c r="M53" i="12" s="1"/>
  <c r="C52" i="12"/>
  <c r="B52" i="12"/>
  <c r="L52" i="12" s="1"/>
  <c r="C51" i="12"/>
  <c r="B51" i="12"/>
  <c r="M51" i="12" s="1"/>
  <c r="C50" i="12"/>
  <c r="B50" i="12"/>
  <c r="L50" i="12" s="1"/>
  <c r="C49" i="12"/>
  <c r="B49" i="12"/>
  <c r="M48" i="12"/>
  <c r="C48" i="12"/>
  <c r="B48" i="12"/>
  <c r="L48" i="12" s="1"/>
  <c r="K47" i="12"/>
  <c r="C47" i="12"/>
  <c r="B47" i="12"/>
  <c r="M47" i="12" s="1"/>
  <c r="M46" i="12"/>
  <c r="K46" i="12"/>
  <c r="C46" i="12"/>
  <c r="B46" i="12"/>
  <c r="L46" i="12" s="1"/>
  <c r="M45" i="12"/>
  <c r="L45" i="12"/>
  <c r="K45" i="12"/>
  <c r="C45" i="12"/>
  <c r="B45" i="12"/>
  <c r="M44" i="12"/>
  <c r="K44" i="12"/>
  <c r="C44" i="12"/>
  <c r="B44" i="12"/>
  <c r="L44" i="12" s="1"/>
  <c r="C43" i="12"/>
  <c r="B43" i="12"/>
  <c r="L43" i="12" s="1"/>
  <c r="C42" i="12"/>
  <c r="B42" i="12"/>
  <c r="L42" i="12" s="1"/>
  <c r="C41" i="12"/>
  <c r="B41" i="12"/>
  <c r="M41" i="12" s="1"/>
  <c r="C40" i="12"/>
  <c r="B40" i="12"/>
  <c r="L40" i="12" s="1"/>
  <c r="L39" i="12"/>
  <c r="K39" i="12"/>
  <c r="C39" i="12"/>
  <c r="B39" i="12"/>
  <c r="M39" i="12" s="1"/>
  <c r="C38" i="12"/>
  <c r="B38" i="12"/>
  <c r="L38" i="12" s="1"/>
  <c r="C37" i="12"/>
  <c r="B37" i="12"/>
  <c r="M37" i="12" s="1"/>
  <c r="M36" i="12"/>
  <c r="K36" i="12"/>
  <c r="C36" i="12"/>
  <c r="B36" i="12"/>
  <c r="L36" i="12" s="1"/>
  <c r="M35" i="12"/>
  <c r="L35" i="12"/>
  <c r="C35" i="12"/>
  <c r="B35" i="12"/>
  <c r="K35" i="12" s="1"/>
  <c r="C34" i="12"/>
  <c r="B34" i="12"/>
  <c r="C33" i="12"/>
  <c r="B33" i="12"/>
  <c r="L33" i="12" s="1"/>
  <c r="C32" i="12"/>
  <c r="B32" i="12"/>
  <c r="L31" i="12"/>
  <c r="C31" i="12"/>
  <c r="B31" i="12"/>
  <c r="K31" i="12" s="1"/>
  <c r="C30" i="12"/>
  <c r="B30" i="12"/>
  <c r="C29" i="12"/>
  <c r="B29" i="12"/>
  <c r="L29" i="12" s="1"/>
  <c r="L28" i="12"/>
  <c r="C28" i="12"/>
  <c r="B28" i="12"/>
  <c r="L27" i="12"/>
  <c r="C27" i="12"/>
  <c r="B27" i="12"/>
  <c r="K27" i="12" s="1"/>
  <c r="L26" i="12"/>
  <c r="K26" i="12"/>
  <c r="C26" i="12"/>
  <c r="B26" i="12"/>
  <c r="C25" i="12"/>
  <c r="B25" i="12"/>
  <c r="L25" i="12" s="1"/>
  <c r="C24" i="12"/>
  <c r="B24" i="12"/>
  <c r="C23" i="12"/>
  <c r="B23" i="12"/>
  <c r="L23" i="12" s="1"/>
  <c r="C22" i="12"/>
  <c r="B22" i="12"/>
  <c r="L21" i="12"/>
  <c r="K21" i="12"/>
  <c r="C21" i="12"/>
  <c r="B21" i="12"/>
  <c r="C20" i="12"/>
  <c r="B20" i="12"/>
  <c r="K19" i="12"/>
  <c r="C19" i="12"/>
  <c r="B19" i="12"/>
  <c r="N18" i="12"/>
  <c r="M18" i="12"/>
  <c r="C18" i="12"/>
  <c r="B18" i="12"/>
  <c r="L18" i="12" s="1"/>
  <c r="K17" i="12"/>
  <c r="C17" i="12"/>
  <c r="B17" i="12"/>
  <c r="C16" i="12"/>
  <c r="B16" i="12"/>
  <c r="L16" i="12" s="1"/>
  <c r="K15" i="12"/>
  <c r="C15" i="12"/>
  <c r="B15" i="12"/>
  <c r="N14" i="12"/>
  <c r="M14" i="12"/>
  <c r="C14" i="12"/>
  <c r="B14" i="12"/>
  <c r="L14" i="12" s="1"/>
  <c r="C13" i="12"/>
  <c r="B13" i="12"/>
  <c r="M12" i="12"/>
  <c r="C12" i="12"/>
  <c r="B12" i="12"/>
  <c r="L12" i="12" s="1"/>
  <c r="C11" i="12"/>
  <c r="B11" i="12"/>
  <c r="K11" i="12" s="1"/>
  <c r="C10" i="12"/>
  <c r="B10" i="12"/>
  <c r="L10" i="12" s="1"/>
  <c r="K9" i="12"/>
  <c r="C9" i="12"/>
  <c r="B9" i="12"/>
  <c r="C8" i="12"/>
  <c r="B8" i="12"/>
  <c r="N8" i="12" s="1"/>
  <c r="K7" i="12"/>
  <c r="C7" i="12"/>
  <c r="B7" i="12"/>
  <c r="AK1" i="8"/>
  <c r="AI1" i="8"/>
  <c r="AH1" i="8"/>
  <c r="AG1" i="8"/>
  <c r="Q50" i="12"/>
  <c r="Q195" i="8" l="1"/>
  <c r="C195" i="8" s="1"/>
  <c r="Q194" i="8"/>
  <c r="C194" i="8" s="1"/>
  <c r="Q187" i="8"/>
  <c r="C187" i="8" s="1"/>
  <c r="Q196" i="8"/>
  <c r="C196" i="8" s="1"/>
  <c r="Q188" i="8"/>
  <c r="C188" i="8" s="1"/>
  <c r="Q197" i="8"/>
  <c r="C197" i="8" s="1"/>
  <c r="Q189" i="8"/>
  <c r="C189" i="8" s="1"/>
  <c r="Q198" i="8"/>
  <c r="C198" i="8" s="1"/>
  <c r="Q190" i="8"/>
  <c r="C190" i="8" s="1"/>
  <c r="Q199" i="8"/>
  <c r="C199" i="8" s="1"/>
  <c r="Q191" i="8"/>
  <c r="C191" i="8" s="1"/>
  <c r="Q200" i="8"/>
  <c r="C200" i="8" s="1"/>
  <c r="Q192" i="8"/>
  <c r="C192" i="8" s="1"/>
  <c r="Q201" i="8"/>
  <c r="C201" i="8" s="1"/>
  <c r="Q193" i="8"/>
  <c r="C193" i="8" s="1"/>
  <c r="K48" i="12"/>
  <c r="N58" i="12"/>
  <c r="K61" i="12"/>
  <c r="K72" i="12"/>
  <c r="N74" i="12"/>
  <c r="N56" i="12"/>
  <c r="M16" i="12"/>
  <c r="N48" i="12"/>
  <c r="K68" i="12"/>
  <c r="K69" i="12"/>
  <c r="N72" i="12"/>
  <c r="K25" i="12"/>
  <c r="K40" i="12"/>
  <c r="K41" i="12"/>
  <c r="N46" i="12"/>
  <c r="K50" i="12"/>
  <c r="K51" i="12"/>
  <c r="N54" i="12"/>
  <c r="N62" i="12"/>
  <c r="N64" i="12"/>
  <c r="K67" i="12"/>
  <c r="M68" i="12"/>
  <c r="N38" i="12"/>
  <c r="N20" i="12"/>
  <c r="M43" i="12"/>
  <c r="K13" i="12"/>
  <c r="N16" i="12"/>
  <c r="N36" i="12"/>
  <c r="N44" i="12"/>
  <c r="M10" i="12"/>
  <c r="K22" i="12"/>
  <c r="L24" i="12"/>
  <c r="N26" i="12"/>
  <c r="K28" i="12"/>
  <c r="K29" i="12"/>
  <c r="K32" i="12"/>
  <c r="M40" i="12"/>
  <c r="L41" i="12"/>
  <c r="K42" i="12"/>
  <c r="M50" i="12"/>
  <c r="L51" i="12"/>
  <c r="K52" i="12"/>
  <c r="N60" i="12"/>
  <c r="K66" i="12"/>
  <c r="N68" i="12"/>
  <c r="K76" i="12"/>
  <c r="L22" i="12"/>
  <c r="L32" i="12"/>
  <c r="K38" i="12"/>
  <c r="N40" i="12"/>
  <c r="M42" i="12"/>
  <c r="N50" i="12"/>
  <c r="M52" i="12"/>
  <c r="K56" i="12"/>
  <c r="M66" i="12"/>
  <c r="M76" i="12"/>
  <c r="K77" i="12"/>
  <c r="M38" i="12"/>
  <c r="N42" i="12"/>
  <c r="N52" i="12"/>
  <c r="M56" i="12"/>
  <c r="N66" i="12"/>
  <c r="N76" i="12"/>
  <c r="N77" i="12"/>
  <c r="L77" i="12"/>
  <c r="N24" i="12"/>
  <c r="N65" i="12"/>
  <c r="N10" i="12"/>
  <c r="M34" i="12"/>
  <c r="M28" i="12"/>
  <c r="N34" i="12"/>
  <c r="N55" i="12"/>
  <c r="N21" i="12"/>
  <c r="M21" i="12"/>
  <c r="N49" i="12"/>
  <c r="L9" i="12"/>
  <c r="N31" i="12"/>
  <c r="M31" i="12"/>
  <c r="M22" i="12"/>
  <c r="N25" i="12"/>
  <c r="M25" i="12"/>
  <c r="N45" i="12"/>
  <c r="N61" i="12"/>
  <c r="L8" i="12"/>
  <c r="N12" i="12"/>
  <c r="L7" i="12"/>
  <c r="L11" i="12"/>
  <c r="L13" i="12"/>
  <c r="L15" i="12"/>
  <c r="L17" i="12"/>
  <c r="L19" i="12"/>
  <c r="N39" i="12"/>
  <c r="M7" i="12"/>
  <c r="M9" i="12"/>
  <c r="M11" i="12"/>
  <c r="M13" i="12"/>
  <c r="M15" i="12"/>
  <c r="M17" i="12"/>
  <c r="M19" i="12"/>
  <c r="N28" i="12"/>
  <c r="N7" i="12"/>
  <c r="N19" i="12"/>
  <c r="L47" i="12"/>
  <c r="N51" i="12"/>
  <c r="K53" i="12"/>
  <c r="N67" i="12"/>
  <c r="M67" i="12"/>
  <c r="N9" i="12"/>
  <c r="N11" i="12"/>
  <c r="N13" i="12"/>
  <c r="N15" i="12"/>
  <c r="N17" i="12"/>
  <c r="K20" i="12"/>
  <c r="N22" i="12"/>
  <c r="K23" i="12"/>
  <c r="M32" i="12"/>
  <c r="N35" i="12"/>
  <c r="K37" i="12"/>
  <c r="K8" i="12"/>
  <c r="K10" i="12"/>
  <c r="K12" i="12"/>
  <c r="K14" i="12"/>
  <c r="K16" i="12"/>
  <c r="K18" i="12"/>
  <c r="L20" i="12"/>
  <c r="M26" i="12"/>
  <c r="N29" i="12"/>
  <c r="M29" i="12"/>
  <c r="K30" i="12"/>
  <c r="N32" i="12"/>
  <c r="K33" i="12"/>
  <c r="L37" i="12"/>
  <c r="N41" i="12"/>
  <c r="K43" i="12"/>
  <c r="L53" i="12"/>
  <c r="N57" i="12"/>
  <c r="K59" i="12"/>
  <c r="N69" i="12"/>
  <c r="M69" i="12"/>
  <c r="M20" i="12"/>
  <c r="N23" i="12"/>
  <c r="M23" i="12"/>
  <c r="K24" i="12"/>
  <c r="L30" i="12"/>
  <c r="N47" i="12"/>
  <c r="K49" i="12"/>
  <c r="L59" i="12"/>
  <c r="N63" i="12"/>
  <c r="K65" i="12"/>
  <c r="N71" i="12"/>
  <c r="M71" i="12"/>
  <c r="M8" i="12"/>
  <c r="M30" i="12"/>
  <c r="N33" i="12"/>
  <c r="M33" i="12"/>
  <c r="K34" i="12"/>
  <c r="N37" i="12"/>
  <c r="L49" i="12"/>
  <c r="N53" i="12"/>
  <c r="K55" i="12"/>
  <c r="L65" i="12"/>
  <c r="N73" i="12"/>
  <c r="M73" i="12"/>
  <c r="M24" i="12"/>
  <c r="N27" i="12"/>
  <c r="M27" i="12"/>
  <c r="N30" i="12"/>
  <c r="L34" i="12"/>
  <c r="N43" i="12"/>
  <c r="M49" i="12"/>
  <c r="L55" i="12"/>
  <c r="N59" i="12"/>
  <c r="M65" i="12"/>
  <c r="N75" i="12"/>
  <c r="M75" i="12"/>
  <c r="S26" i="12"/>
  <c r="P4" i="15" l="1"/>
  <c r="P3" i="15"/>
  <c r="P2" i="15"/>
  <c r="O33" i="8"/>
  <c r="C6" i="12"/>
  <c r="B6" i="12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M3" i="8"/>
  <c r="L3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A186" i="8"/>
  <c r="B186" i="8" s="1"/>
  <c r="A185" i="8"/>
  <c r="B185" i="8" s="1"/>
  <c r="A184" i="8"/>
  <c r="B184" i="8" s="1"/>
  <c r="A183" i="8"/>
  <c r="B183" i="8" s="1"/>
  <c r="A182" i="8"/>
  <c r="B182" i="8" s="1"/>
  <c r="A181" i="8"/>
  <c r="B181" i="8" s="1"/>
  <c r="A180" i="8"/>
  <c r="B180" i="8" s="1"/>
  <c r="A179" i="8"/>
  <c r="B179" i="8" s="1"/>
  <c r="A178" i="8"/>
  <c r="B178" i="8" s="1"/>
  <c r="A177" i="8"/>
  <c r="B177" i="8" s="1"/>
  <c r="A176" i="8"/>
  <c r="B176" i="8" s="1"/>
  <c r="A175" i="8"/>
  <c r="B175" i="8" s="1"/>
  <c r="A174" i="8"/>
  <c r="B174" i="8" s="1"/>
  <c r="A173" i="8"/>
  <c r="B173" i="8" s="1"/>
  <c r="A172" i="8"/>
  <c r="B172" i="8" s="1"/>
  <c r="A171" i="8"/>
  <c r="B171" i="8" s="1"/>
  <c r="A170" i="8"/>
  <c r="B170" i="8" s="1"/>
  <c r="A169" i="8"/>
  <c r="B169" i="8" s="1"/>
  <c r="A168" i="8"/>
  <c r="B168" i="8" s="1"/>
  <c r="A167" i="8"/>
  <c r="B167" i="8" s="1"/>
  <c r="A166" i="8"/>
  <c r="B166" i="8" s="1"/>
  <c r="A165" i="8"/>
  <c r="B165" i="8" s="1"/>
  <c r="A164" i="8"/>
  <c r="B164" i="8" s="1"/>
  <c r="A163" i="8"/>
  <c r="B163" i="8" s="1"/>
  <c r="A162" i="8"/>
  <c r="B162" i="8" s="1"/>
  <c r="A161" i="8"/>
  <c r="B161" i="8" s="1"/>
  <c r="A160" i="8"/>
  <c r="B160" i="8" s="1"/>
  <c r="A159" i="8"/>
  <c r="B159" i="8" s="1"/>
  <c r="A158" i="8"/>
  <c r="B158" i="8" s="1"/>
  <c r="A157" i="8"/>
  <c r="B157" i="8" s="1"/>
  <c r="A156" i="8"/>
  <c r="B156" i="8" s="1"/>
  <c r="A155" i="8"/>
  <c r="B155" i="8" s="1"/>
  <c r="A154" i="8"/>
  <c r="B154" i="8" s="1"/>
  <c r="A153" i="8"/>
  <c r="B153" i="8" s="1"/>
  <c r="A152" i="8"/>
  <c r="B152" i="8" s="1"/>
  <c r="A151" i="8"/>
  <c r="B151" i="8" s="1"/>
  <c r="A150" i="8"/>
  <c r="B150" i="8" s="1"/>
  <c r="A149" i="8"/>
  <c r="B149" i="8" s="1"/>
  <c r="A148" i="8"/>
  <c r="B148" i="8" s="1"/>
  <c r="A147" i="8"/>
  <c r="B147" i="8" s="1"/>
  <c r="A146" i="8"/>
  <c r="B146" i="8" s="1"/>
  <c r="A145" i="8"/>
  <c r="B145" i="8" s="1"/>
  <c r="A144" i="8"/>
  <c r="B144" i="8" s="1"/>
  <c r="A143" i="8"/>
  <c r="B143" i="8" s="1"/>
  <c r="A142" i="8"/>
  <c r="B142" i="8" s="1"/>
  <c r="A141" i="8"/>
  <c r="B141" i="8" s="1"/>
  <c r="A140" i="8"/>
  <c r="B140" i="8" s="1"/>
  <c r="A139" i="8"/>
  <c r="B139" i="8" s="1"/>
  <c r="A138" i="8"/>
  <c r="B138" i="8" s="1"/>
  <c r="A137" i="8"/>
  <c r="B137" i="8" s="1"/>
  <c r="A136" i="8"/>
  <c r="B136" i="8" s="1"/>
  <c r="A135" i="8"/>
  <c r="B135" i="8" s="1"/>
  <c r="A134" i="8"/>
  <c r="B134" i="8" s="1"/>
  <c r="A133" i="8"/>
  <c r="B133" i="8" s="1"/>
  <c r="A132" i="8"/>
  <c r="B132" i="8" s="1"/>
  <c r="A131" i="8"/>
  <c r="B131" i="8" s="1"/>
  <c r="A130" i="8"/>
  <c r="B130" i="8" s="1"/>
  <c r="A129" i="8"/>
  <c r="B129" i="8" s="1"/>
  <c r="A128" i="8"/>
  <c r="B128" i="8" s="1"/>
  <c r="A127" i="8"/>
  <c r="B127" i="8" s="1"/>
  <c r="A126" i="8"/>
  <c r="B126" i="8" s="1"/>
  <c r="A125" i="8"/>
  <c r="B125" i="8" s="1"/>
  <c r="A124" i="8"/>
  <c r="B124" i="8" s="1"/>
  <c r="A123" i="8"/>
  <c r="B123" i="8" s="1"/>
  <c r="A122" i="8"/>
  <c r="B122" i="8" s="1"/>
  <c r="A121" i="8"/>
  <c r="B121" i="8" s="1"/>
  <c r="A120" i="8"/>
  <c r="B120" i="8" s="1"/>
  <c r="A119" i="8"/>
  <c r="B119" i="8" s="1"/>
  <c r="A118" i="8"/>
  <c r="B118" i="8" s="1"/>
  <c r="A117" i="8"/>
  <c r="B117" i="8" s="1"/>
  <c r="A116" i="8"/>
  <c r="B116" i="8" s="1"/>
  <c r="A115" i="8"/>
  <c r="B115" i="8" s="1"/>
  <c r="A114" i="8"/>
  <c r="B114" i="8" s="1"/>
  <c r="A113" i="8"/>
  <c r="B113" i="8" s="1"/>
  <c r="A112" i="8"/>
  <c r="B112" i="8" s="1"/>
  <c r="A111" i="8"/>
  <c r="B111" i="8" s="1"/>
  <c r="A110" i="8"/>
  <c r="B110" i="8" s="1"/>
  <c r="A109" i="8"/>
  <c r="B109" i="8" s="1"/>
  <c r="A108" i="8"/>
  <c r="B108" i="8" s="1"/>
  <c r="A107" i="8"/>
  <c r="B107" i="8" s="1"/>
  <c r="A106" i="8"/>
  <c r="B106" i="8" s="1"/>
  <c r="A105" i="8"/>
  <c r="B105" i="8" s="1"/>
  <c r="A104" i="8"/>
  <c r="B104" i="8" s="1"/>
  <c r="A103" i="8"/>
  <c r="B103" i="8" s="1"/>
  <c r="A102" i="8"/>
  <c r="B102" i="8" s="1"/>
  <c r="A101" i="8"/>
  <c r="B101" i="8" s="1"/>
  <c r="A100" i="8"/>
  <c r="B100" i="8" s="1"/>
  <c r="A99" i="8"/>
  <c r="B99" i="8" s="1"/>
  <c r="A98" i="8"/>
  <c r="B98" i="8" s="1"/>
  <c r="A97" i="8"/>
  <c r="B97" i="8" s="1"/>
  <c r="A96" i="8"/>
  <c r="B96" i="8" s="1"/>
  <c r="A95" i="8"/>
  <c r="B95" i="8" s="1"/>
  <c r="A94" i="8"/>
  <c r="B94" i="8" s="1"/>
  <c r="A93" i="8"/>
  <c r="B93" i="8" s="1"/>
  <c r="A92" i="8"/>
  <c r="B92" i="8" s="1"/>
  <c r="A91" i="8"/>
  <c r="B91" i="8" s="1"/>
  <c r="A90" i="8"/>
  <c r="B90" i="8" s="1"/>
  <c r="A89" i="8"/>
  <c r="B89" i="8" s="1"/>
  <c r="A88" i="8"/>
  <c r="B88" i="8" s="1"/>
  <c r="A87" i="8"/>
  <c r="B87" i="8" s="1"/>
  <c r="A86" i="8"/>
  <c r="B86" i="8" s="1"/>
  <c r="A85" i="8"/>
  <c r="B85" i="8" s="1"/>
  <c r="A84" i="8"/>
  <c r="B84" i="8" s="1"/>
  <c r="A83" i="8"/>
  <c r="B83" i="8" s="1"/>
  <c r="A82" i="8"/>
  <c r="B82" i="8" s="1"/>
  <c r="A81" i="8"/>
  <c r="B81" i="8" s="1"/>
  <c r="A80" i="8"/>
  <c r="B80" i="8" s="1"/>
  <c r="A79" i="8"/>
  <c r="B79" i="8" s="1"/>
  <c r="A78" i="8"/>
  <c r="B78" i="8" s="1"/>
  <c r="A77" i="8"/>
  <c r="B77" i="8" s="1"/>
  <c r="A76" i="8"/>
  <c r="B76" i="8" s="1"/>
  <c r="A75" i="8"/>
  <c r="B75" i="8" s="1"/>
  <c r="A74" i="8"/>
  <c r="B74" i="8" s="1"/>
  <c r="A73" i="8"/>
  <c r="B73" i="8" s="1"/>
  <c r="A72" i="8"/>
  <c r="B72" i="8" s="1"/>
  <c r="A71" i="8"/>
  <c r="B71" i="8" s="1"/>
  <c r="A70" i="8"/>
  <c r="B70" i="8" s="1"/>
  <c r="A69" i="8"/>
  <c r="B69" i="8" s="1"/>
  <c r="A68" i="8"/>
  <c r="B68" i="8" s="1"/>
  <c r="A67" i="8"/>
  <c r="B67" i="8" s="1"/>
  <c r="A66" i="8"/>
  <c r="B66" i="8" s="1"/>
  <c r="A65" i="8"/>
  <c r="B65" i="8" s="1"/>
  <c r="A64" i="8"/>
  <c r="B64" i="8" s="1"/>
  <c r="A63" i="8"/>
  <c r="B63" i="8" s="1"/>
  <c r="A62" i="8"/>
  <c r="B62" i="8" s="1"/>
  <c r="A61" i="8"/>
  <c r="B61" i="8" s="1"/>
  <c r="A60" i="8"/>
  <c r="B60" i="8" s="1"/>
  <c r="A59" i="8"/>
  <c r="B59" i="8" s="1"/>
  <c r="A58" i="8"/>
  <c r="B58" i="8" s="1"/>
  <c r="A57" i="8"/>
  <c r="B57" i="8" s="1"/>
  <c r="A56" i="8"/>
  <c r="B56" i="8" s="1"/>
  <c r="A55" i="8"/>
  <c r="B55" i="8" s="1"/>
  <c r="A54" i="8"/>
  <c r="B54" i="8" s="1"/>
  <c r="A53" i="8"/>
  <c r="B53" i="8" s="1"/>
  <c r="A52" i="8"/>
  <c r="B52" i="8" s="1"/>
  <c r="A51" i="8"/>
  <c r="B51" i="8" s="1"/>
  <c r="A50" i="8"/>
  <c r="B50" i="8" s="1"/>
  <c r="A49" i="8"/>
  <c r="B49" i="8" s="1"/>
  <c r="A48" i="8"/>
  <c r="B48" i="8" s="1"/>
  <c r="A47" i="8"/>
  <c r="B47" i="8" s="1"/>
  <c r="A46" i="8"/>
  <c r="B46" i="8" s="1"/>
  <c r="A45" i="8"/>
  <c r="B45" i="8" s="1"/>
  <c r="A44" i="8"/>
  <c r="B44" i="8" s="1"/>
  <c r="A43" i="8"/>
  <c r="B43" i="8" s="1"/>
  <c r="A42" i="8"/>
  <c r="B42" i="8" s="1"/>
  <c r="A41" i="8"/>
  <c r="B41" i="8" s="1"/>
  <c r="A40" i="8"/>
  <c r="B40" i="8" s="1"/>
  <c r="A39" i="8"/>
  <c r="B39" i="8" s="1"/>
  <c r="A38" i="8"/>
  <c r="B38" i="8" s="1"/>
  <c r="A37" i="8"/>
  <c r="B37" i="8" s="1"/>
  <c r="A36" i="8"/>
  <c r="B36" i="8" s="1"/>
  <c r="A35" i="8"/>
  <c r="B35" i="8" s="1"/>
  <c r="A34" i="8"/>
  <c r="B34" i="8" s="1"/>
  <c r="A33" i="8"/>
  <c r="B33" i="8" s="1"/>
  <c r="A32" i="8"/>
  <c r="B32" i="8" s="1"/>
  <c r="A31" i="8"/>
  <c r="B31" i="8" s="1"/>
  <c r="A30" i="8"/>
  <c r="B30" i="8" s="1"/>
  <c r="A29" i="8"/>
  <c r="B29" i="8" s="1"/>
  <c r="A28" i="8"/>
  <c r="B28" i="8" s="1"/>
  <c r="A27" i="8"/>
  <c r="B27" i="8" s="1"/>
  <c r="A26" i="8"/>
  <c r="B26" i="8" s="1"/>
  <c r="A25" i="8"/>
  <c r="B25" i="8" s="1"/>
  <c r="A24" i="8"/>
  <c r="B24" i="8" s="1"/>
  <c r="A23" i="8"/>
  <c r="B23" i="8" s="1"/>
  <c r="A22" i="8"/>
  <c r="B22" i="8" s="1"/>
  <c r="A21" i="8"/>
  <c r="B21" i="8" s="1"/>
  <c r="A20" i="8"/>
  <c r="B20" i="8" s="1"/>
  <c r="A19" i="8"/>
  <c r="B19" i="8" s="1"/>
  <c r="A18" i="8"/>
  <c r="B18" i="8" s="1"/>
  <c r="A17" i="8"/>
  <c r="B17" i="8" s="1"/>
  <c r="A16" i="8"/>
  <c r="B16" i="8" s="1"/>
  <c r="A15" i="8"/>
  <c r="B15" i="8" s="1"/>
  <c r="A14" i="8"/>
  <c r="B14" i="8" s="1"/>
  <c r="A13" i="8"/>
  <c r="B13" i="8" s="1"/>
  <c r="A12" i="8"/>
  <c r="B12" i="8" s="1"/>
  <c r="A11" i="8"/>
  <c r="B11" i="8" s="1"/>
  <c r="A10" i="8"/>
  <c r="B10" i="8" s="1"/>
  <c r="A9" i="8"/>
  <c r="B9" i="8" s="1"/>
  <c r="A8" i="8"/>
  <c r="B8" i="8" s="1"/>
  <c r="A7" i="8"/>
  <c r="B7" i="8" s="1"/>
  <c r="A6" i="8"/>
  <c r="B6" i="8" s="1"/>
  <c r="A5" i="8"/>
  <c r="B5" i="8" s="1"/>
  <c r="A4" i="8"/>
  <c r="B4" i="8" s="1"/>
  <c r="A3" i="8"/>
  <c r="B120" i="4" a="1"/>
  <c r="B105" i="4" a="1"/>
  <c r="D4" i="8"/>
  <c r="F4" i="8"/>
  <c r="G4" i="8"/>
  <c r="H4" i="8"/>
  <c r="I4" i="8"/>
  <c r="J4" i="8"/>
  <c r="D5" i="8"/>
  <c r="F5" i="8"/>
  <c r="G5" i="8"/>
  <c r="H5" i="8"/>
  <c r="I5" i="8"/>
  <c r="J5" i="8"/>
  <c r="D6" i="8"/>
  <c r="F6" i="8"/>
  <c r="G6" i="8"/>
  <c r="H6" i="8"/>
  <c r="I6" i="8"/>
  <c r="J6" i="8"/>
  <c r="D7" i="8"/>
  <c r="F7" i="8"/>
  <c r="G7" i="8"/>
  <c r="H7" i="8"/>
  <c r="I7" i="8"/>
  <c r="J7" i="8"/>
  <c r="D8" i="8"/>
  <c r="F8" i="8"/>
  <c r="G8" i="8"/>
  <c r="H8" i="8"/>
  <c r="I8" i="8"/>
  <c r="J8" i="8"/>
  <c r="D9" i="8"/>
  <c r="F9" i="8"/>
  <c r="G9" i="8"/>
  <c r="H9" i="8"/>
  <c r="I9" i="8"/>
  <c r="J9" i="8"/>
  <c r="D10" i="8"/>
  <c r="F10" i="8"/>
  <c r="G10" i="8"/>
  <c r="H10" i="8"/>
  <c r="I10" i="8"/>
  <c r="J10" i="8"/>
  <c r="D11" i="8"/>
  <c r="F11" i="8"/>
  <c r="G11" i="8"/>
  <c r="H11" i="8"/>
  <c r="I11" i="8"/>
  <c r="J11" i="8"/>
  <c r="D12" i="8"/>
  <c r="F12" i="8"/>
  <c r="G12" i="8"/>
  <c r="H12" i="8"/>
  <c r="I12" i="8"/>
  <c r="J12" i="8"/>
  <c r="D13" i="8"/>
  <c r="F13" i="8"/>
  <c r="G13" i="8"/>
  <c r="H13" i="8"/>
  <c r="I13" i="8"/>
  <c r="J13" i="8"/>
  <c r="D14" i="8"/>
  <c r="F14" i="8"/>
  <c r="G14" i="8"/>
  <c r="H14" i="8"/>
  <c r="I14" i="8"/>
  <c r="J14" i="8"/>
  <c r="D15" i="8"/>
  <c r="F15" i="8"/>
  <c r="G15" i="8"/>
  <c r="H15" i="8"/>
  <c r="I15" i="8"/>
  <c r="J15" i="8"/>
  <c r="D16" i="8"/>
  <c r="F16" i="8"/>
  <c r="G16" i="8"/>
  <c r="H16" i="8"/>
  <c r="I16" i="8"/>
  <c r="J16" i="8"/>
  <c r="D17" i="8"/>
  <c r="F17" i="8"/>
  <c r="G17" i="8"/>
  <c r="H17" i="8"/>
  <c r="I17" i="8"/>
  <c r="J17" i="8"/>
  <c r="D18" i="8"/>
  <c r="F18" i="8"/>
  <c r="G18" i="8"/>
  <c r="H18" i="8"/>
  <c r="I18" i="8"/>
  <c r="J18" i="8"/>
  <c r="D19" i="8"/>
  <c r="F19" i="8"/>
  <c r="G19" i="8"/>
  <c r="H19" i="8"/>
  <c r="I19" i="8"/>
  <c r="J19" i="8"/>
  <c r="D20" i="8"/>
  <c r="F20" i="8"/>
  <c r="G20" i="8"/>
  <c r="H20" i="8"/>
  <c r="I20" i="8"/>
  <c r="J20" i="8"/>
  <c r="D21" i="8"/>
  <c r="F21" i="8"/>
  <c r="G21" i="8"/>
  <c r="H21" i="8"/>
  <c r="I21" i="8"/>
  <c r="J21" i="8"/>
  <c r="D22" i="8"/>
  <c r="F22" i="8"/>
  <c r="G22" i="8"/>
  <c r="H22" i="8"/>
  <c r="I22" i="8"/>
  <c r="J22" i="8"/>
  <c r="D23" i="8"/>
  <c r="F23" i="8"/>
  <c r="G23" i="8"/>
  <c r="H23" i="8"/>
  <c r="I23" i="8"/>
  <c r="J23" i="8"/>
  <c r="D24" i="8"/>
  <c r="F24" i="8"/>
  <c r="G24" i="8"/>
  <c r="H24" i="8"/>
  <c r="I24" i="8"/>
  <c r="J24" i="8"/>
  <c r="D25" i="8"/>
  <c r="F25" i="8"/>
  <c r="G25" i="8"/>
  <c r="H25" i="8"/>
  <c r="I25" i="8"/>
  <c r="J25" i="8"/>
  <c r="D26" i="8"/>
  <c r="F26" i="8"/>
  <c r="G26" i="8"/>
  <c r="H26" i="8"/>
  <c r="I26" i="8"/>
  <c r="J26" i="8"/>
  <c r="D27" i="8"/>
  <c r="F27" i="8"/>
  <c r="G27" i="8"/>
  <c r="H27" i="8"/>
  <c r="I27" i="8"/>
  <c r="J27" i="8"/>
  <c r="D28" i="8"/>
  <c r="F28" i="8"/>
  <c r="G28" i="8"/>
  <c r="H28" i="8"/>
  <c r="I28" i="8"/>
  <c r="J28" i="8"/>
  <c r="D29" i="8"/>
  <c r="F29" i="8"/>
  <c r="G29" i="8"/>
  <c r="H29" i="8"/>
  <c r="I29" i="8"/>
  <c r="J29" i="8"/>
  <c r="D30" i="8"/>
  <c r="F30" i="8"/>
  <c r="G30" i="8"/>
  <c r="H30" i="8"/>
  <c r="I30" i="8"/>
  <c r="J30" i="8"/>
  <c r="D31" i="8"/>
  <c r="F31" i="8"/>
  <c r="G31" i="8"/>
  <c r="H31" i="8"/>
  <c r="I31" i="8"/>
  <c r="J31" i="8"/>
  <c r="D32" i="8"/>
  <c r="F32" i="8"/>
  <c r="G32" i="8"/>
  <c r="H32" i="8"/>
  <c r="I32" i="8"/>
  <c r="J32" i="8"/>
  <c r="D33" i="8"/>
  <c r="F33" i="8"/>
  <c r="G33" i="8"/>
  <c r="H33" i="8"/>
  <c r="I33" i="8"/>
  <c r="J33" i="8"/>
  <c r="D34" i="8"/>
  <c r="F34" i="8"/>
  <c r="G34" i="8"/>
  <c r="H34" i="8"/>
  <c r="I34" i="8"/>
  <c r="J34" i="8"/>
  <c r="D35" i="8"/>
  <c r="F35" i="8"/>
  <c r="G35" i="8"/>
  <c r="H35" i="8"/>
  <c r="I35" i="8"/>
  <c r="J35" i="8"/>
  <c r="D36" i="8"/>
  <c r="F36" i="8"/>
  <c r="G36" i="8"/>
  <c r="H36" i="8"/>
  <c r="I36" i="8"/>
  <c r="J36" i="8"/>
  <c r="D37" i="8"/>
  <c r="F37" i="8"/>
  <c r="G37" i="8"/>
  <c r="H37" i="8"/>
  <c r="I37" i="8"/>
  <c r="J37" i="8"/>
  <c r="D38" i="8"/>
  <c r="F38" i="8"/>
  <c r="G38" i="8"/>
  <c r="H38" i="8"/>
  <c r="I38" i="8"/>
  <c r="J38" i="8"/>
  <c r="D39" i="8"/>
  <c r="F39" i="8"/>
  <c r="G39" i="8"/>
  <c r="H39" i="8"/>
  <c r="I39" i="8"/>
  <c r="J39" i="8"/>
  <c r="D40" i="8"/>
  <c r="F40" i="8"/>
  <c r="G40" i="8"/>
  <c r="H40" i="8"/>
  <c r="I40" i="8"/>
  <c r="J40" i="8"/>
  <c r="D41" i="8"/>
  <c r="F41" i="8"/>
  <c r="G41" i="8"/>
  <c r="H41" i="8"/>
  <c r="I41" i="8"/>
  <c r="J41" i="8"/>
  <c r="D42" i="8"/>
  <c r="F42" i="8"/>
  <c r="G42" i="8"/>
  <c r="H42" i="8"/>
  <c r="I42" i="8"/>
  <c r="J42" i="8"/>
  <c r="D43" i="8"/>
  <c r="F43" i="8"/>
  <c r="G43" i="8"/>
  <c r="H43" i="8"/>
  <c r="I43" i="8"/>
  <c r="J43" i="8"/>
  <c r="D44" i="8"/>
  <c r="F44" i="8"/>
  <c r="G44" i="8"/>
  <c r="H44" i="8"/>
  <c r="I44" i="8"/>
  <c r="J44" i="8"/>
  <c r="D45" i="8"/>
  <c r="F45" i="8"/>
  <c r="G45" i="8"/>
  <c r="H45" i="8"/>
  <c r="I45" i="8"/>
  <c r="J45" i="8"/>
  <c r="D46" i="8"/>
  <c r="F46" i="8"/>
  <c r="G46" i="8"/>
  <c r="H46" i="8"/>
  <c r="I46" i="8"/>
  <c r="J46" i="8"/>
  <c r="D47" i="8"/>
  <c r="F47" i="8"/>
  <c r="G47" i="8"/>
  <c r="H47" i="8"/>
  <c r="I47" i="8"/>
  <c r="J47" i="8"/>
  <c r="D48" i="8"/>
  <c r="F48" i="8"/>
  <c r="G48" i="8"/>
  <c r="H48" i="8"/>
  <c r="I48" i="8"/>
  <c r="J48" i="8"/>
  <c r="D49" i="8"/>
  <c r="F49" i="8"/>
  <c r="G49" i="8"/>
  <c r="H49" i="8"/>
  <c r="I49" i="8"/>
  <c r="J49" i="8"/>
  <c r="D50" i="8"/>
  <c r="F50" i="8"/>
  <c r="G50" i="8"/>
  <c r="H50" i="8"/>
  <c r="I50" i="8"/>
  <c r="J50" i="8"/>
  <c r="D51" i="8"/>
  <c r="F51" i="8"/>
  <c r="G51" i="8"/>
  <c r="H51" i="8"/>
  <c r="I51" i="8"/>
  <c r="J51" i="8"/>
  <c r="D52" i="8"/>
  <c r="F52" i="8"/>
  <c r="G52" i="8"/>
  <c r="H52" i="8"/>
  <c r="I52" i="8"/>
  <c r="J52" i="8"/>
  <c r="D53" i="8"/>
  <c r="F53" i="8"/>
  <c r="G53" i="8"/>
  <c r="H53" i="8"/>
  <c r="I53" i="8"/>
  <c r="J53" i="8"/>
  <c r="D54" i="8"/>
  <c r="F54" i="8"/>
  <c r="G54" i="8"/>
  <c r="H54" i="8"/>
  <c r="I54" i="8"/>
  <c r="J54" i="8"/>
  <c r="D55" i="8"/>
  <c r="F55" i="8"/>
  <c r="G55" i="8"/>
  <c r="H55" i="8"/>
  <c r="I55" i="8"/>
  <c r="J55" i="8"/>
  <c r="D56" i="8"/>
  <c r="F56" i="8"/>
  <c r="G56" i="8"/>
  <c r="H56" i="8"/>
  <c r="I56" i="8"/>
  <c r="J56" i="8"/>
  <c r="D57" i="8"/>
  <c r="F57" i="8"/>
  <c r="G57" i="8"/>
  <c r="H57" i="8"/>
  <c r="I57" i="8"/>
  <c r="J57" i="8"/>
  <c r="D58" i="8"/>
  <c r="F58" i="8"/>
  <c r="G58" i="8"/>
  <c r="H58" i="8"/>
  <c r="I58" i="8"/>
  <c r="J58" i="8"/>
  <c r="D59" i="8"/>
  <c r="F59" i="8"/>
  <c r="G59" i="8"/>
  <c r="H59" i="8"/>
  <c r="I59" i="8"/>
  <c r="J59" i="8"/>
  <c r="D60" i="8"/>
  <c r="F60" i="8"/>
  <c r="G60" i="8"/>
  <c r="H60" i="8"/>
  <c r="I60" i="8"/>
  <c r="J60" i="8"/>
  <c r="D61" i="8"/>
  <c r="F61" i="8"/>
  <c r="G61" i="8"/>
  <c r="H61" i="8"/>
  <c r="I61" i="8"/>
  <c r="J61" i="8"/>
  <c r="D62" i="8"/>
  <c r="F62" i="8"/>
  <c r="G62" i="8"/>
  <c r="H62" i="8"/>
  <c r="I62" i="8"/>
  <c r="J62" i="8"/>
  <c r="D63" i="8"/>
  <c r="F63" i="8"/>
  <c r="G63" i="8"/>
  <c r="H63" i="8"/>
  <c r="I63" i="8"/>
  <c r="J63" i="8"/>
  <c r="D64" i="8"/>
  <c r="F64" i="8"/>
  <c r="G64" i="8"/>
  <c r="H64" i="8"/>
  <c r="I64" i="8"/>
  <c r="J64" i="8"/>
  <c r="D65" i="8"/>
  <c r="F65" i="8"/>
  <c r="G65" i="8"/>
  <c r="H65" i="8"/>
  <c r="I65" i="8"/>
  <c r="J65" i="8"/>
  <c r="D66" i="8"/>
  <c r="F66" i="8"/>
  <c r="G66" i="8"/>
  <c r="H66" i="8"/>
  <c r="I66" i="8"/>
  <c r="J66" i="8"/>
  <c r="D67" i="8"/>
  <c r="F67" i="8"/>
  <c r="G67" i="8"/>
  <c r="H67" i="8"/>
  <c r="I67" i="8"/>
  <c r="J67" i="8"/>
  <c r="D68" i="8"/>
  <c r="F68" i="8"/>
  <c r="G68" i="8"/>
  <c r="H68" i="8"/>
  <c r="I68" i="8"/>
  <c r="J68" i="8"/>
  <c r="D69" i="8"/>
  <c r="F69" i="8"/>
  <c r="G69" i="8"/>
  <c r="H69" i="8"/>
  <c r="I69" i="8"/>
  <c r="J69" i="8"/>
  <c r="D70" i="8"/>
  <c r="F70" i="8"/>
  <c r="G70" i="8"/>
  <c r="H70" i="8"/>
  <c r="I70" i="8"/>
  <c r="J70" i="8"/>
  <c r="D71" i="8"/>
  <c r="F71" i="8"/>
  <c r="G71" i="8"/>
  <c r="H71" i="8"/>
  <c r="I71" i="8"/>
  <c r="J71" i="8"/>
  <c r="D72" i="8"/>
  <c r="F72" i="8"/>
  <c r="G72" i="8"/>
  <c r="H72" i="8"/>
  <c r="I72" i="8"/>
  <c r="J72" i="8"/>
  <c r="D73" i="8"/>
  <c r="F73" i="8"/>
  <c r="G73" i="8"/>
  <c r="H73" i="8"/>
  <c r="I73" i="8"/>
  <c r="J73" i="8"/>
  <c r="D74" i="8"/>
  <c r="F74" i="8"/>
  <c r="G74" i="8"/>
  <c r="H74" i="8"/>
  <c r="I74" i="8"/>
  <c r="J74" i="8"/>
  <c r="D75" i="8"/>
  <c r="F75" i="8"/>
  <c r="G75" i="8"/>
  <c r="H75" i="8"/>
  <c r="I75" i="8"/>
  <c r="J75" i="8"/>
  <c r="D76" i="8"/>
  <c r="F76" i="8"/>
  <c r="G76" i="8"/>
  <c r="H76" i="8"/>
  <c r="I76" i="8"/>
  <c r="J76" i="8"/>
  <c r="D77" i="8"/>
  <c r="F77" i="8"/>
  <c r="G77" i="8"/>
  <c r="H77" i="8"/>
  <c r="I77" i="8"/>
  <c r="J77" i="8"/>
  <c r="D78" i="8"/>
  <c r="F78" i="8"/>
  <c r="G78" i="8"/>
  <c r="H78" i="8"/>
  <c r="I78" i="8"/>
  <c r="J78" i="8"/>
  <c r="D79" i="8"/>
  <c r="F79" i="8"/>
  <c r="G79" i="8"/>
  <c r="H79" i="8"/>
  <c r="I79" i="8"/>
  <c r="J79" i="8"/>
  <c r="D80" i="8"/>
  <c r="F80" i="8"/>
  <c r="G80" i="8"/>
  <c r="H80" i="8"/>
  <c r="I80" i="8"/>
  <c r="J80" i="8"/>
  <c r="D81" i="8"/>
  <c r="F81" i="8"/>
  <c r="G81" i="8"/>
  <c r="H81" i="8"/>
  <c r="I81" i="8"/>
  <c r="J81" i="8"/>
  <c r="D82" i="8"/>
  <c r="F82" i="8"/>
  <c r="G82" i="8"/>
  <c r="H82" i="8"/>
  <c r="I82" i="8"/>
  <c r="J82" i="8"/>
  <c r="D83" i="8"/>
  <c r="F83" i="8"/>
  <c r="G83" i="8"/>
  <c r="H83" i="8"/>
  <c r="I83" i="8"/>
  <c r="J83" i="8"/>
  <c r="D84" i="8"/>
  <c r="F84" i="8"/>
  <c r="G84" i="8"/>
  <c r="H84" i="8"/>
  <c r="I84" i="8"/>
  <c r="J84" i="8"/>
  <c r="D85" i="8"/>
  <c r="F85" i="8"/>
  <c r="G85" i="8"/>
  <c r="H85" i="8"/>
  <c r="I85" i="8"/>
  <c r="J85" i="8"/>
  <c r="D86" i="8"/>
  <c r="F86" i="8"/>
  <c r="G86" i="8"/>
  <c r="H86" i="8"/>
  <c r="I86" i="8"/>
  <c r="J86" i="8"/>
  <c r="D87" i="8"/>
  <c r="F87" i="8"/>
  <c r="G87" i="8"/>
  <c r="H87" i="8"/>
  <c r="I87" i="8"/>
  <c r="J87" i="8"/>
  <c r="D88" i="8"/>
  <c r="F88" i="8"/>
  <c r="G88" i="8"/>
  <c r="H88" i="8"/>
  <c r="I88" i="8"/>
  <c r="J88" i="8"/>
  <c r="D89" i="8"/>
  <c r="F89" i="8"/>
  <c r="G89" i="8"/>
  <c r="H89" i="8"/>
  <c r="I89" i="8"/>
  <c r="J89" i="8"/>
  <c r="D90" i="8"/>
  <c r="F90" i="8"/>
  <c r="G90" i="8"/>
  <c r="H90" i="8"/>
  <c r="I90" i="8"/>
  <c r="J90" i="8"/>
  <c r="D91" i="8"/>
  <c r="F91" i="8"/>
  <c r="G91" i="8"/>
  <c r="H91" i="8"/>
  <c r="I91" i="8"/>
  <c r="J91" i="8"/>
  <c r="D92" i="8"/>
  <c r="F92" i="8"/>
  <c r="G92" i="8"/>
  <c r="H92" i="8"/>
  <c r="I92" i="8"/>
  <c r="J92" i="8"/>
  <c r="D93" i="8"/>
  <c r="F93" i="8"/>
  <c r="G93" i="8"/>
  <c r="H93" i="8"/>
  <c r="I93" i="8"/>
  <c r="J93" i="8"/>
  <c r="D94" i="8"/>
  <c r="F94" i="8"/>
  <c r="G94" i="8"/>
  <c r="H94" i="8"/>
  <c r="I94" i="8"/>
  <c r="J94" i="8"/>
  <c r="D95" i="8"/>
  <c r="F95" i="8"/>
  <c r="G95" i="8"/>
  <c r="H95" i="8"/>
  <c r="I95" i="8"/>
  <c r="J95" i="8"/>
  <c r="D96" i="8"/>
  <c r="F96" i="8"/>
  <c r="G96" i="8"/>
  <c r="H96" i="8"/>
  <c r="I96" i="8"/>
  <c r="J96" i="8"/>
  <c r="D97" i="8"/>
  <c r="F97" i="8"/>
  <c r="G97" i="8"/>
  <c r="H97" i="8"/>
  <c r="I97" i="8"/>
  <c r="J97" i="8"/>
  <c r="D98" i="8"/>
  <c r="F98" i="8"/>
  <c r="G98" i="8"/>
  <c r="H98" i="8"/>
  <c r="I98" i="8"/>
  <c r="J98" i="8"/>
  <c r="D99" i="8"/>
  <c r="F99" i="8"/>
  <c r="G99" i="8"/>
  <c r="H99" i="8"/>
  <c r="I99" i="8"/>
  <c r="J99" i="8"/>
  <c r="D100" i="8"/>
  <c r="F100" i="8"/>
  <c r="G100" i="8"/>
  <c r="H100" i="8"/>
  <c r="I100" i="8"/>
  <c r="J100" i="8"/>
  <c r="D101" i="8"/>
  <c r="F101" i="8"/>
  <c r="G101" i="8"/>
  <c r="H101" i="8"/>
  <c r="I101" i="8"/>
  <c r="J101" i="8"/>
  <c r="D102" i="8"/>
  <c r="F102" i="8"/>
  <c r="G102" i="8"/>
  <c r="H102" i="8"/>
  <c r="I102" i="8"/>
  <c r="J102" i="8"/>
  <c r="D103" i="8"/>
  <c r="F103" i="8"/>
  <c r="G103" i="8"/>
  <c r="H103" i="8"/>
  <c r="I103" i="8"/>
  <c r="J103" i="8"/>
  <c r="D104" i="8"/>
  <c r="F104" i="8"/>
  <c r="G104" i="8"/>
  <c r="H104" i="8"/>
  <c r="I104" i="8"/>
  <c r="J104" i="8"/>
  <c r="D105" i="8"/>
  <c r="F105" i="8"/>
  <c r="G105" i="8"/>
  <c r="H105" i="8"/>
  <c r="I105" i="8"/>
  <c r="J105" i="8"/>
  <c r="D106" i="8"/>
  <c r="F106" i="8"/>
  <c r="G106" i="8"/>
  <c r="H106" i="8"/>
  <c r="I106" i="8"/>
  <c r="J106" i="8"/>
  <c r="D107" i="8"/>
  <c r="F107" i="8"/>
  <c r="G107" i="8"/>
  <c r="H107" i="8"/>
  <c r="I107" i="8"/>
  <c r="J107" i="8"/>
  <c r="D108" i="8"/>
  <c r="F108" i="8"/>
  <c r="G108" i="8"/>
  <c r="H108" i="8"/>
  <c r="I108" i="8"/>
  <c r="J108" i="8"/>
  <c r="D109" i="8"/>
  <c r="F109" i="8"/>
  <c r="G109" i="8"/>
  <c r="H109" i="8"/>
  <c r="I109" i="8"/>
  <c r="J109" i="8"/>
  <c r="D110" i="8"/>
  <c r="F110" i="8"/>
  <c r="G110" i="8"/>
  <c r="H110" i="8"/>
  <c r="I110" i="8"/>
  <c r="J110" i="8"/>
  <c r="D111" i="8"/>
  <c r="F111" i="8"/>
  <c r="G111" i="8"/>
  <c r="H111" i="8"/>
  <c r="I111" i="8"/>
  <c r="J111" i="8"/>
  <c r="D112" i="8"/>
  <c r="F112" i="8"/>
  <c r="G112" i="8"/>
  <c r="H112" i="8"/>
  <c r="I112" i="8"/>
  <c r="J112" i="8"/>
  <c r="D113" i="8"/>
  <c r="F113" i="8"/>
  <c r="G113" i="8"/>
  <c r="H113" i="8"/>
  <c r="I113" i="8"/>
  <c r="J113" i="8"/>
  <c r="D114" i="8"/>
  <c r="F114" i="8"/>
  <c r="G114" i="8"/>
  <c r="H114" i="8"/>
  <c r="I114" i="8"/>
  <c r="J114" i="8"/>
  <c r="D115" i="8"/>
  <c r="F115" i="8"/>
  <c r="G115" i="8"/>
  <c r="H115" i="8"/>
  <c r="I115" i="8"/>
  <c r="J115" i="8"/>
  <c r="D116" i="8"/>
  <c r="F116" i="8"/>
  <c r="G116" i="8"/>
  <c r="H116" i="8"/>
  <c r="I116" i="8"/>
  <c r="J116" i="8"/>
  <c r="D117" i="8"/>
  <c r="F117" i="8"/>
  <c r="G117" i="8"/>
  <c r="H117" i="8"/>
  <c r="I117" i="8"/>
  <c r="J117" i="8"/>
  <c r="D118" i="8"/>
  <c r="F118" i="8"/>
  <c r="G118" i="8"/>
  <c r="H118" i="8"/>
  <c r="I118" i="8"/>
  <c r="J118" i="8"/>
  <c r="D119" i="8"/>
  <c r="F119" i="8"/>
  <c r="G119" i="8"/>
  <c r="H119" i="8"/>
  <c r="I119" i="8"/>
  <c r="J119" i="8"/>
  <c r="D120" i="8"/>
  <c r="F120" i="8"/>
  <c r="G120" i="8"/>
  <c r="H120" i="8"/>
  <c r="I120" i="8"/>
  <c r="J120" i="8"/>
  <c r="D121" i="8"/>
  <c r="F121" i="8"/>
  <c r="G121" i="8"/>
  <c r="H121" i="8"/>
  <c r="I121" i="8"/>
  <c r="J121" i="8"/>
  <c r="D122" i="8"/>
  <c r="F122" i="8"/>
  <c r="G122" i="8"/>
  <c r="H122" i="8"/>
  <c r="I122" i="8"/>
  <c r="J122" i="8"/>
  <c r="D123" i="8"/>
  <c r="F123" i="8"/>
  <c r="G123" i="8"/>
  <c r="H123" i="8"/>
  <c r="I123" i="8"/>
  <c r="J123" i="8"/>
  <c r="D124" i="8"/>
  <c r="F124" i="8"/>
  <c r="G124" i="8"/>
  <c r="H124" i="8"/>
  <c r="I124" i="8"/>
  <c r="J124" i="8"/>
  <c r="D125" i="8"/>
  <c r="F125" i="8"/>
  <c r="G125" i="8"/>
  <c r="H125" i="8"/>
  <c r="I125" i="8"/>
  <c r="J125" i="8"/>
  <c r="D126" i="8"/>
  <c r="F126" i="8"/>
  <c r="G126" i="8"/>
  <c r="H126" i="8"/>
  <c r="I126" i="8"/>
  <c r="J126" i="8"/>
  <c r="D127" i="8"/>
  <c r="F127" i="8"/>
  <c r="G127" i="8"/>
  <c r="H127" i="8"/>
  <c r="I127" i="8"/>
  <c r="J127" i="8"/>
  <c r="D128" i="8"/>
  <c r="F128" i="8"/>
  <c r="G128" i="8"/>
  <c r="H128" i="8"/>
  <c r="I128" i="8"/>
  <c r="J128" i="8"/>
  <c r="D129" i="8"/>
  <c r="F129" i="8"/>
  <c r="G129" i="8"/>
  <c r="H129" i="8"/>
  <c r="I129" i="8"/>
  <c r="J129" i="8"/>
  <c r="D130" i="8"/>
  <c r="F130" i="8"/>
  <c r="G130" i="8"/>
  <c r="H130" i="8"/>
  <c r="I130" i="8"/>
  <c r="J130" i="8"/>
  <c r="D131" i="8"/>
  <c r="F131" i="8"/>
  <c r="G131" i="8"/>
  <c r="H131" i="8"/>
  <c r="I131" i="8"/>
  <c r="J131" i="8"/>
  <c r="D132" i="8"/>
  <c r="F132" i="8"/>
  <c r="G132" i="8"/>
  <c r="H132" i="8"/>
  <c r="I132" i="8"/>
  <c r="J132" i="8"/>
  <c r="D133" i="8"/>
  <c r="F133" i="8"/>
  <c r="G133" i="8"/>
  <c r="H133" i="8"/>
  <c r="I133" i="8"/>
  <c r="J133" i="8"/>
  <c r="D134" i="8"/>
  <c r="F134" i="8"/>
  <c r="G134" i="8"/>
  <c r="H134" i="8"/>
  <c r="I134" i="8"/>
  <c r="J134" i="8"/>
  <c r="D135" i="8"/>
  <c r="F135" i="8"/>
  <c r="G135" i="8"/>
  <c r="H135" i="8"/>
  <c r="I135" i="8"/>
  <c r="J135" i="8"/>
  <c r="D136" i="8"/>
  <c r="F136" i="8"/>
  <c r="G136" i="8"/>
  <c r="H136" i="8"/>
  <c r="I136" i="8"/>
  <c r="J136" i="8"/>
  <c r="D137" i="8"/>
  <c r="F137" i="8"/>
  <c r="G137" i="8"/>
  <c r="H137" i="8"/>
  <c r="I137" i="8"/>
  <c r="J137" i="8"/>
  <c r="D138" i="8"/>
  <c r="F138" i="8"/>
  <c r="G138" i="8"/>
  <c r="H138" i="8"/>
  <c r="I138" i="8"/>
  <c r="J138" i="8"/>
  <c r="D139" i="8"/>
  <c r="F139" i="8"/>
  <c r="G139" i="8"/>
  <c r="H139" i="8"/>
  <c r="I139" i="8"/>
  <c r="J139" i="8"/>
  <c r="D140" i="8"/>
  <c r="F140" i="8"/>
  <c r="G140" i="8"/>
  <c r="H140" i="8"/>
  <c r="I140" i="8"/>
  <c r="J140" i="8"/>
  <c r="D141" i="8"/>
  <c r="F141" i="8"/>
  <c r="G141" i="8"/>
  <c r="H141" i="8"/>
  <c r="I141" i="8"/>
  <c r="J141" i="8"/>
  <c r="D142" i="8"/>
  <c r="F142" i="8"/>
  <c r="G142" i="8"/>
  <c r="H142" i="8"/>
  <c r="I142" i="8"/>
  <c r="J142" i="8"/>
  <c r="D143" i="8"/>
  <c r="F143" i="8"/>
  <c r="G143" i="8"/>
  <c r="H143" i="8"/>
  <c r="I143" i="8"/>
  <c r="J143" i="8"/>
  <c r="D144" i="8"/>
  <c r="F144" i="8"/>
  <c r="G144" i="8"/>
  <c r="H144" i="8"/>
  <c r="I144" i="8"/>
  <c r="J144" i="8"/>
  <c r="D145" i="8"/>
  <c r="F145" i="8"/>
  <c r="G145" i="8"/>
  <c r="H145" i="8"/>
  <c r="I145" i="8"/>
  <c r="J145" i="8"/>
  <c r="D146" i="8"/>
  <c r="F146" i="8"/>
  <c r="G146" i="8"/>
  <c r="H146" i="8"/>
  <c r="I146" i="8"/>
  <c r="J146" i="8"/>
  <c r="D147" i="8"/>
  <c r="F147" i="8"/>
  <c r="G147" i="8"/>
  <c r="H147" i="8"/>
  <c r="I147" i="8"/>
  <c r="J147" i="8"/>
  <c r="D148" i="8"/>
  <c r="F148" i="8"/>
  <c r="G148" i="8"/>
  <c r="H148" i="8"/>
  <c r="I148" i="8"/>
  <c r="J148" i="8"/>
  <c r="D149" i="8"/>
  <c r="F149" i="8"/>
  <c r="G149" i="8"/>
  <c r="H149" i="8"/>
  <c r="I149" i="8"/>
  <c r="J149" i="8"/>
  <c r="D150" i="8"/>
  <c r="F150" i="8"/>
  <c r="G150" i="8"/>
  <c r="H150" i="8"/>
  <c r="I150" i="8"/>
  <c r="J150" i="8"/>
  <c r="D151" i="8"/>
  <c r="F151" i="8"/>
  <c r="G151" i="8"/>
  <c r="H151" i="8"/>
  <c r="I151" i="8"/>
  <c r="J151" i="8"/>
  <c r="D152" i="8"/>
  <c r="F152" i="8"/>
  <c r="G152" i="8"/>
  <c r="H152" i="8"/>
  <c r="I152" i="8"/>
  <c r="J152" i="8"/>
  <c r="D153" i="8"/>
  <c r="F153" i="8"/>
  <c r="G153" i="8"/>
  <c r="H153" i="8"/>
  <c r="I153" i="8"/>
  <c r="J153" i="8"/>
  <c r="D154" i="8"/>
  <c r="F154" i="8"/>
  <c r="G154" i="8"/>
  <c r="H154" i="8"/>
  <c r="I154" i="8"/>
  <c r="J154" i="8"/>
  <c r="D155" i="8"/>
  <c r="F155" i="8"/>
  <c r="G155" i="8"/>
  <c r="H155" i="8"/>
  <c r="I155" i="8"/>
  <c r="J155" i="8"/>
  <c r="D156" i="8"/>
  <c r="F156" i="8"/>
  <c r="G156" i="8"/>
  <c r="H156" i="8"/>
  <c r="I156" i="8"/>
  <c r="J156" i="8"/>
  <c r="D157" i="8"/>
  <c r="F157" i="8"/>
  <c r="G157" i="8"/>
  <c r="H157" i="8"/>
  <c r="I157" i="8"/>
  <c r="J157" i="8"/>
  <c r="D158" i="8"/>
  <c r="F158" i="8"/>
  <c r="G158" i="8"/>
  <c r="H158" i="8"/>
  <c r="I158" i="8"/>
  <c r="J158" i="8"/>
  <c r="D159" i="8"/>
  <c r="F159" i="8"/>
  <c r="G159" i="8"/>
  <c r="H159" i="8"/>
  <c r="I159" i="8"/>
  <c r="J159" i="8"/>
  <c r="D160" i="8"/>
  <c r="F160" i="8"/>
  <c r="G160" i="8"/>
  <c r="H160" i="8"/>
  <c r="I160" i="8"/>
  <c r="J160" i="8"/>
  <c r="D161" i="8"/>
  <c r="F161" i="8"/>
  <c r="G161" i="8"/>
  <c r="H161" i="8"/>
  <c r="I161" i="8"/>
  <c r="J161" i="8"/>
  <c r="D162" i="8"/>
  <c r="F162" i="8"/>
  <c r="G162" i="8"/>
  <c r="H162" i="8"/>
  <c r="I162" i="8"/>
  <c r="J162" i="8"/>
  <c r="D163" i="8"/>
  <c r="F163" i="8"/>
  <c r="G163" i="8"/>
  <c r="H163" i="8"/>
  <c r="I163" i="8"/>
  <c r="J163" i="8"/>
  <c r="D164" i="8"/>
  <c r="F164" i="8"/>
  <c r="G164" i="8"/>
  <c r="H164" i="8"/>
  <c r="I164" i="8"/>
  <c r="J164" i="8"/>
  <c r="D165" i="8"/>
  <c r="F165" i="8"/>
  <c r="G165" i="8"/>
  <c r="H165" i="8"/>
  <c r="I165" i="8"/>
  <c r="J165" i="8"/>
  <c r="D166" i="8"/>
  <c r="F166" i="8"/>
  <c r="G166" i="8"/>
  <c r="H166" i="8"/>
  <c r="I166" i="8"/>
  <c r="J166" i="8"/>
  <c r="D167" i="8"/>
  <c r="F167" i="8"/>
  <c r="G167" i="8"/>
  <c r="H167" i="8"/>
  <c r="I167" i="8"/>
  <c r="J167" i="8"/>
  <c r="D168" i="8"/>
  <c r="F168" i="8"/>
  <c r="G168" i="8"/>
  <c r="H168" i="8"/>
  <c r="I168" i="8"/>
  <c r="J168" i="8"/>
  <c r="D169" i="8"/>
  <c r="F169" i="8"/>
  <c r="G169" i="8"/>
  <c r="H169" i="8"/>
  <c r="I169" i="8"/>
  <c r="J169" i="8"/>
  <c r="D170" i="8"/>
  <c r="F170" i="8"/>
  <c r="G170" i="8"/>
  <c r="H170" i="8"/>
  <c r="I170" i="8"/>
  <c r="J170" i="8"/>
  <c r="D171" i="8"/>
  <c r="F171" i="8"/>
  <c r="G171" i="8"/>
  <c r="H171" i="8"/>
  <c r="I171" i="8"/>
  <c r="J171" i="8"/>
  <c r="D172" i="8"/>
  <c r="F172" i="8"/>
  <c r="G172" i="8"/>
  <c r="H172" i="8"/>
  <c r="I172" i="8"/>
  <c r="J172" i="8"/>
  <c r="D173" i="8"/>
  <c r="F173" i="8"/>
  <c r="G173" i="8"/>
  <c r="H173" i="8"/>
  <c r="I173" i="8"/>
  <c r="J173" i="8"/>
  <c r="D174" i="8"/>
  <c r="F174" i="8"/>
  <c r="G174" i="8"/>
  <c r="H174" i="8"/>
  <c r="I174" i="8"/>
  <c r="J174" i="8"/>
  <c r="D175" i="8"/>
  <c r="F175" i="8"/>
  <c r="G175" i="8"/>
  <c r="H175" i="8"/>
  <c r="I175" i="8"/>
  <c r="J175" i="8"/>
  <c r="D176" i="8"/>
  <c r="F176" i="8"/>
  <c r="G176" i="8"/>
  <c r="H176" i="8"/>
  <c r="I176" i="8"/>
  <c r="J176" i="8"/>
  <c r="D177" i="8"/>
  <c r="F177" i="8"/>
  <c r="G177" i="8"/>
  <c r="H177" i="8"/>
  <c r="I177" i="8"/>
  <c r="J177" i="8"/>
  <c r="D178" i="8"/>
  <c r="F178" i="8"/>
  <c r="G178" i="8"/>
  <c r="H178" i="8"/>
  <c r="I178" i="8"/>
  <c r="J178" i="8"/>
  <c r="D179" i="8"/>
  <c r="F179" i="8"/>
  <c r="G179" i="8"/>
  <c r="H179" i="8"/>
  <c r="I179" i="8"/>
  <c r="J179" i="8"/>
  <c r="D180" i="8"/>
  <c r="F180" i="8"/>
  <c r="G180" i="8"/>
  <c r="H180" i="8"/>
  <c r="I180" i="8"/>
  <c r="J180" i="8"/>
  <c r="D181" i="8"/>
  <c r="F181" i="8"/>
  <c r="G181" i="8"/>
  <c r="H181" i="8"/>
  <c r="I181" i="8"/>
  <c r="J181" i="8"/>
  <c r="D182" i="8"/>
  <c r="F182" i="8"/>
  <c r="G182" i="8"/>
  <c r="H182" i="8"/>
  <c r="I182" i="8"/>
  <c r="J182" i="8"/>
  <c r="D183" i="8"/>
  <c r="F183" i="8"/>
  <c r="G183" i="8"/>
  <c r="H183" i="8"/>
  <c r="I183" i="8"/>
  <c r="J183" i="8"/>
  <c r="D184" i="8"/>
  <c r="F184" i="8"/>
  <c r="G184" i="8"/>
  <c r="H184" i="8"/>
  <c r="I184" i="8"/>
  <c r="J184" i="8"/>
  <c r="D185" i="8"/>
  <c r="F185" i="8"/>
  <c r="G185" i="8"/>
  <c r="H185" i="8"/>
  <c r="I185" i="8"/>
  <c r="J185" i="8"/>
  <c r="D186" i="8"/>
  <c r="F186" i="8"/>
  <c r="G186" i="8"/>
  <c r="H186" i="8"/>
  <c r="I186" i="8"/>
  <c r="J186" i="8"/>
  <c r="J3" i="8"/>
  <c r="I3" i="8"/>
  <c r="H3" i="8"/>
  <c r="G3" i="8"/>
  <c r="F3" i="8"/>
  <c r="D3" i="8"/>
  <c r="R4" i="8"/>
  <c r="S4" i="8"/>
  <c r="T4" i="8" s="1"/>
  <c r="R5" i="8"/>
  <c r="S5" i="8"/>
  <c r="T5" i="8" s="1"/>
  <c r="R6" i="8"/>
  <c r="S6" i="8"/>
  <c r="T6" i="8" s="1"/>
  <c r="R7" i="8"/>
  <c r="S7" i="8"/>
  <c r="T7" i="8" s="1"/>
  <c r="R8" i="8"/>
  <c r="S8" i="8"/>
  <c r="T8" i="8" s="1"/>
  <c r="R9" i="8"/>
  <c r="S9" i="8"/>
  <c r="T9" i="8" s="1"/>
  <c r="R10" i="8"/>
  <c r="S10" i="8"/>
  <c r="T10" i="8" s="1"/>
  <c r="R11" i="8"/>
  <c r="S11" i="8"/>
  <c r="T11" i="8" s="1"/>
  <c r="R12" i="8"/>
  <c r="S12" i="8"/>
  <c r="T12" i="8" s="1"/>
  <c r="R13" i="8"/>
  <c r="S13" i="8"/>
  <c r="T13" i="8" s="1"/>
  <c r="R14" i="8"/>
  <c r="S14" i="8"/>
  <c r="T14" i="8" s="1"/>
  <c r="R15" i="8"/>
  <c r="S15" i="8"/>
  <c r="T15" i="8" s="1"/>
  <c r="R16" i="8"/>
  <c r="S16" i="8"/>
  <c r="T16" i="8" s="1"/>
  <c r="R17" i="8"/>
  <c r="S17" i="8"/>
  <c r="T17" i="8" s="1"/>
  <c r="R18" i="8"/>
  <c r="S18" i="8"/>
  <c r="T18" i="8" s="1"/>
  <c r="R19" i="8"/>
  <c r="S19" i="8"/>
  <c r="T19" i="8" s="1"/>
  <c r="R20" i="8"/>
  <c r="S20" i="8"/>
  <c r="T20" i="8" s="1"/>
  <c r="R21" i="8"/>
  <c r="S21" i="8"/>
  <c r="T21" i="8" s="1"/>
  <c r="R22" i="8"/>
  <c r="S22" i="8"/>
  <c r="T22" i="8" s="1"/>
  <c r="R23" i="8"/>
  <c r="S23" i="8"/>
  <c r="T23" i="8" s="1"/>
  <c r="R24" i="8"/>
  <c r="S24" i="8"/>
  <c r="T24" i="8" s="1"/>
  <c r="R25" i="8"/>
  <c r="S25" i="8"/>
  <c r="T25" i="8" s="1"/>
  <c r="R26" i="8"/>
  <c r="S26" i="8"/>
  <c r="T26" i="8" s="1"/>
  <c r="R27" i="8"/>
  <c r="S27" i="8"/>
  <c r="T27" i="8" s="1"/>
  <c r="R28" i="8"/>
  <c r="S28" i="8"/>
  <c r="T28" i="8" s="1"/>
  <c r="R29" i="8"/>
  <c r="S29" i="8"/>
  <c r="T29" i="8" s="1"/>
  <c r="R30" i="8"/>
  <c r="S30" i="8"/>
  <c r="T30" i="8" s="1"/>
  <c r="R31" i="8"/>
  <c r="S31" i="8"/>
  <c r="T31" i="8" s="1"/>
  <c r="R32" i="8"/>
  <c r="S32" i="8"/>
  <c r="T32" i="8" s="1"/>
  <c r="R33" i="8"/>
  <c r="S33" i="8"/>
  <c r="T33" i="8" s="1"/>
  <c r="R34" i="8"/>
  <c r="S34" i="8"/>
  <c r="T34" i="8" s="1"/>
  <c r="R35" i="8"/>
  <c r="S35" i="8"/>
  <c r="T35" i="8" s="1"/>
  <c r="R36" i="8"/>
  <c r="S36" i="8"/>
  <c r="T36" i="8" s="1"/>
  <c r="R37" i="8"/>
  <c r="S37" i="8"/>
  <c r="T37" i="8" s="1"/>
  <c r="R38" i="8"/>
  <c r="S38" i="8"/>
  <c r="T38" i="8" s="1"/>
  <c r="R39" i="8"/>
  <c r="S39" i="8"/>
  <c r="T39" i="8" s="1"/>
  <c r="R40" i="8"/>
  <c r="S40" i="8"/>
  <c r="T40" i="8" s="1"/>
  <c r="R41" i="8"/>
  <c r="S41" i="8"/>
  <c r="T41" i="8" s="1"/>
  <c r="R42" i="8"/>
  <c r="S42" i="8"/>
  <c r="T42" i="8" s="1"/>
  <c r="R43" i="8"/>
  <c r="S43" i="8"/>
  <c r="T43" i="8" s="1"/>
  <c r="R44" i="8"/>
  <c r="S44" i="8"/>
  <c r="T44" i="8" s="1"/>
  <c r="R45" i="8"/>
  <c r="S45" i="8"/>
  <c r="T45" i="8" s="1"/>
  <c r="R46" i="8"/>
  <c r="S46" i="8"/>
  <c r="T46" i="8" s="1"/>
  <c r="R47" i="8"/>
  <c r="S47" i="8"/>
  <c r="T47" i="8" s="1"/>
  <c r="R48" i="8"/>
  <c r="S48" i="8"/>
  <c r="T48" i="8" s="1"/>
  <c r="R49" i="8"/>
  <c r="S49" i="8"/>
  <c r="T49" i="8" s="1"/>
  <c r="R50" i="8"/>
  <c r="S50" i="8"/>
  <c r="T50" i="8" s="1"/>
  <c r="R51" i="8"/>
  <c r="S51" i="8"/>
  <c r="T51" i="8" s="1"/>
  <c r="R52" i="8"/>
  <c r="S52" i="8"/>
  <c r="T52" i="8" s="1"/>
  <c r="R53" i="8"/>
  <c r="S53" i="8"/>
  <c r="T53" i="8" s="1"/>
  <c r="R54" i="8"/>
  <c r="S54" i="8"/>
  <c r="T54" i="8" s="1"/>
  <c r="R55" i="8"/>
  <c r="S55" i="8"/>
  <c r="T55" i="8" s="1"/>
  <c r="R56" i="8"/>
  <c r="S56" i="8"/>
  <c r="T56" i="8" s="1"/>
  <c r="R57" i="8"/>
  <c r="S57" i="8"/>
  <c r="T57" i="8" s="1"/>
  <c r="R58" i="8"/>
  <c r="S58" i="8"/>
  <c r="T58" i="8" s="1"/>
  <c r="R59" i="8"/>
  <c r="S59" i="8"/>
  <c r="T59" i="8" s="1"/>
  <c r="R60" i="8"/>
  <c r="S60" i="8"/>
  <c r="T60" i="8" s="1"/>
  <c r="R61" i="8"/>
  <c r="S61" i="8"/>
  <c r="T61" i="8" s="1"/>
  <c r="R62" i="8"/>
  <c r="S62" i="8"/>
  <c r="T62" i="8" s="1"/>
  <c r="R63" i="8"/>
  <c r="S63" i="8"/>
  <c r="T63" i="8" s="1"/>
  <c r="R64" i="8"/>
  <c r="S64" i="8"/>
  <c r="T64" i="8" s="1"/>
  <c r="R65" i="8"/>
  <c r="S65" i="8"/>
  <c r="T65" i="8" s="1"/>
  <c r="R66" i="8"/>
  <c r="S66" i="8"/>
  <c r="T66" i="8" s="1"/>
  <c r="R67" i="8"/>
  <c r="S67" i="8"/>
  <c r="T67" i="8" s="1"/>
  <c r="R68" i="8"/>
  <c r="S68" i="8"/>
  <c r="T68" i="8" s="1"/>
  <c r="R69" i="8"/>
  <c r="S69" i="8"/>
  <c r="T69" i="8" s="1"/>
  <c r="R70" i="8"/>
  <c r="S70" i="8"/>
  <c r="T70" i="8" s="1"/>
  <c r="R71" i="8"/>
  <c r="S71" i="8"/>
  <c r="T71" i="8" s="1"/>
  <c r="R72" i="8"/>
  <c r="S72" i="8"/>
  <c r="T72" i="8" s="1"/>
  <c r="R73" i="8"/>
  <c r="S73" i="8"/>
  <c r="T73" i="8" s="1"/>
  <c r="R74" i="8"/>
  <c r="S74" i="8"/>
  <c r="T74" i="8" s="1"/>
  <c r="R75" i="8"/>
  <c r="S75" i="8"/>
  <c r="T75" i="8" s="1"/>
  <c r="R76" i="8"/>
  <c r="S76" i="8"/>
  <c r="T76" i="8" s="1"/>
  <c r="R77" i="8"/>
  <c r="S77" i="8"/>
  <c r="T77" i="8" s="1"/>
  <c r="R78" i="8"/>
  <c r="S78" i="8"/>
  <c r="T78" i="8" s="1"/>
  <c r="R79" i="8"/>
  <c r="S79" i="8"/>
  <c r="T79" i="8" s="1"/>
  <c r="R80" i="8"/>
  <c r="S80" i="8"/>
  <c r="T80" i="8" s="1"/>
  <c r="R81" i="8"/>
  <c r="S81" i="8"/>
  <c r="T81" i="8" s="1"/>
  <c r="R82" i="8"/>
  <c r="S82" i="8"/>
  <c r="T82" i="8" s="1"/>
  <c r="R83" i="8"/>
  <c r="S83" i="8"/>
  <c r="T83" i="8" s="1"/>
  <c r="R84" i="8"/>
  <c r="S84" i="8"/>
  <c r="T84" i="8" s="1"/>
  <c r="R85" i="8"/>
  <c r="S85" i="8"/>
  <c r="T85" i="8" s="1"/>
  <c r="R86" i="8"/>
  <c r="S86" i="8"/>
  <c r="T86" i="8" s="1"/>
  <c r="R87" i="8"/>
  <c r="S87" i="8"/>
  <c r="T87" i="8" s="1"/>
  <c r="R88" i="8"/>
  <c r="S88" i="8"/>
  <c r="T88" i="8" s="1"/>
  <c r="R89" i="8"/>
  <c r="S89" i="8"/>
  <c r="T89" i="8" s="1"/>
  <c r="R90" i="8"/>
  <c r="S90" i="8"/>
  <c r="T90" i="8" s="1"/>
  <c r="R91" i="8"/>
  <c r="S91" i="8"/>
  <c r="T91" i="8" s="1"/>
  <c r="R92" i="8"/>
  <c r="S92" i="8"/>
  <c r="T92" i="8" s="1"/>
  <c r="R93" i="8"/>
  <c r="S93" i="8"/>
  <c r="T93" i="8" s="1"/>
  <c r="R94" i="8"/>
  <c r="S94" i="8"/>
  <c r="T94" i="8" s="1"/>
  <c r="R95" i="8"/>
  <c r="S95" i="8"/>
  <c r="T95" i="8" s="1"/>
  <c r="R96" i="8"/>
  <c r="S96" i="8"/>
  <c r="T96" i="8" s="1"/>
  <c r="R97" i="8"/>
  <c r="S97" i="8"/>
  <c r="T97" i="8" s="1"/>
  <c r="R98" i="8"/>
  <c r="S98" i="8"/>
  <c r="T98" i="8" s="1"/>
  <c r="R99" i="8"/>
  <c r="S99" i="8"/>
  <c r="T99" i="8" s="1"/>
  <c r="R100" i="8"/>
  <c r="S100" i="8"/>
  <c r="T100" i="8" s="1"/>
  <c r="R101" i="8"/>
  <c r="S101" i="8"/>
  <c r="T101" i="8" s="1"/>
  <c r="R102" i="8"/>
  <c r="S102" i="8"/>
  <c r="T102" i="8" s="1"/>
  <c r="R103" i="8"/>
  <c r="S103" i="8"/>
  <c r="T103" i="8" s="1"/>
  <c r="R104" i="8"/>
  <c r="S104" i="8"/>
  <c r="T104" i="8" s="1"/>
  <c r="R105" i="8"/>
  <c r="S105" i="8"/>
  <c r="T105" i="8" s="1"/>
  <c r="R106" i="8"/>
  <c r="S106" i="8"/>
  <c r="T106" i="8" s="1"/>
  <c r="R107" i="8"/>
  <c r="S107" i="8"/>
  <c r="T107" i="8" s="1"/>
  <c r="R108" i="8"/>
  <c r="S108" i="8"/>
  <c r="T108" i="8" s="1"/>
  <c r="R109" i="8"/>
  <c r="S109" i="8"/>
  <c r="T109" i="8" s="1"/>
  <c r="R110" i="8"/>
  <c r="S110" i="8"/>
  <c r="T110" i="8" s="1"/>
  <c r="R111" i="8"/>
  <c r="S111" i="8"/>
  <c r="T111" i="8" s="1"/>
  <c r="R112" i="8"/>
  <c r="S112" i="8"/>
  <c r="T112" i="8" s="1"/>
  <c r="R113" i="8"/>
  <c r="S113" i="8"/>
  <c r="T113" i="8" s="1"/>
  <c r="R114" i="8"/>
  <c r="S114" i="8"/>
  <c r="T114" i="8" s="1"/>
  <c r="R115" i="8"/>
  <c r="S115" i="8"/>
  <c r="T115" i="8" s="1"/>
  <c r="R116" i="8"/>
  <c r="S116" i="8"/>
  <c r="T116" i="8" s="1"/>
  <c r="R117" i="8"/>
  <c r="S117" i="8"/>
  <c r="T117" i="8" s="1"/>
  <c r="R118" i="8"/>
  <c r="S118" i="8"/>
  <c r="T118" i="8" s="1"/>
  <c r="R119" i="8"/>
  <c r="S119" i="8"/>
  <c r="T119" i="8" s="1"/>
  <c r="R120" i="8"/>
  <c r="S120" i="8"/>
  <c r="T120" i="8" s="1"/>
  <c r="R121" i="8"/>
  <c r="S121" i="8"/>
  <c r="T121" i="8" s="1"/>
  <c r="R122" i="8"/>
  <c r="S122" i="8"/>
  <c r="T122" i="8" s="1"/>
  <c r="R123" i="8"/>
  <c r="S123" i="8"/>
  <c r="T123" i="8" s="1"/>
  <c r="R124" i="8"/>
  <c r="S124" i="8"/>
  <c r="T124" i="8" s="1"/>
  <c r="R125" i="8"/>
  <c r="S125" i="8"/>
  <c r="T125" i="8" s="1"/>
  <c r="R126" i="8"/>
  <c r="S126" i="8"/>
  <c r="T126" i="8" s="1"/>
  <c r="R127" i="8"/>
  <c r="S127" i="8"/>
  <c r="T127" i="8" s="1"/>
  <c r="R128" i="8"/>
  <c r="S128" i="8"/>
  <c r="T128" i="8" s="1"/>
  <c r="R129" i="8"/>
  <c r="S129" i="8"/>
  <c r="T129" i="8" s="1"/>
  <c r="R130" i="8"/>
  <c r="S130" i="8"/>
  <c r="T130" i="8" s="1"/>
  <c r="R131" i="8"/>
  <c r="S131" i="8"/>
  <c r="T131" i="8" s="1"/>
  <c r="R132" i="8"/>
  <c r="S132" i="8"/>
  <c r="T132" i="8" s="1"/>
  <c r="R133" i="8"/>
  <c r="S133" i="8"/>
  <c r="T133" i="8" s="1"/>
  <c r="R134" i="8"/>
  <c r="S134" i="8"/>
  <c r="T134" i="8" s="1"/>
  <c r="R135" i="8"/>
  <c r="S135" i="8"/>
  <c r="T135" i="8" s="1"/>
  <c r="R136" i="8"/>
  <c r="S136" i="8"/>
  <c r="T136" i="8" s="1"/>
  <c r="R137" i="8"/>
  <c r="S137" i="8"/>
  <c r="T137" i="8" s="1"/>
  <c r="R138" i="8"/>
  <c r="S138" i="8"/>
  <c r="T138" i="8" s="1"/>
  <c r="R139" i="8"/>
  <c r="S139" i="8"/>
  <c r="T139" i="8" s="1"/>
  <c r="R140" i="8"/>
  <c r="S140" i="8"/>
  <c r="T140" i="8" s="1"/>
  <c r="R141" i="8"/>
  <c r="S141" i="8"/>
  <c r="T141" i="8" s="1"/>
  <c r="R142" i="8"/>
  <c r="S142" i="8"/>
  <c r="T142" i="8" s="1"/>
  <c r="R143" i="8"/>
  <c r="S143" i="8"/>
  <c r="T143" i="8" s="1"/>
  <c r="R144" i="8"/>
  <c r="S144" i="8"/>
  <c r="T144" i="8" s="1"/>
  <c r="R145" i="8"/>
  <c r="S145" i="8"/>
  <c r="T145" i="8" s="1"/>
  <c r="R146" i="8"/>
  <c r="S146" i="8"/>
  <c r="T146" i="8" s="1"/>
  <c r="R147" i="8"/>
  <c r="S147" i="8"/>
  <c r="T147" i="8" s="1"/>
  <c r="R148" i="8"/>
  <c r="S148" i="8"/>
  <c r="T148" i="8" s="1"/>
  <c r="R149" i="8"/>
  <c r="S149" i="8"/>
  <c r="T149" i="8" s="1"/>
  <c r="R150" i="8"/>
  <c r="S150" i="8"/>
  <c r="T150" i="8" s="1"/>
  <c r="R151" i="8"/>
  <c r="S151" i="8"/>
  <c r="T151" i="8" s="1"/>
  <c r="R152" i="8"/>
  <c r="S152" i="8"/>
  <c r="T152" i="8" s="1"/>
  <c r="R153" i="8"/>
  <c r="S153" i="8"/>
  <c r="T153" i="8" s="1"/>
  <c r="R154" i="8"/>
  <c r="S154" i="8"/>
  <c r="T154" i="8" s="1"/>
  <c r="R155" i="8"/>
  <c r="S155" i="8"/>
  <c r="T155" i="8" s="1"/>
  <c r="R156" i="8"/>
  <c r="S156" i="8"/>
  <c r="T156" i="8" s="1"/>
  <c r="R157" i="8"/>
  <c r="S157" i="8"/>
  <c r="T157" i="8" s="1"/>
  <c r="R158" i="8"/>
  <c r="S158" i="8"/>
  <c r="T158" i="8" s="1"/>
  <c r="R159" i="8"/>
  <c r="S159" i="8"/>
  <c r="T159" i="8" s="1"/>
  <c r="R160" i="8"/>
  <c r="S160" i="8"/>
  <c r="T160" i="8" s="1"/>
  <c r="R161" i="8"/>
  <c r="S161" i="8"/>
  <c r="T161" i="8" s="1"/>
  <c r="R162" i="8"/>
  <c r="S162" i="8"/>
  <c r="T162" i="8" s="1"/>
  <c r="R163" i="8"/>
  <c r="S163" i="8"/>
  <c r="T163" i="8" s="1"/>
  <c r="R164" i="8"/>
  <c r="S164" i="8"/>
  <c r="T164" i="8" s="1"/>
  <c r="R165" i="8"/>
  <c r="S165" i="8"/>
  <c r="T165" i="8" s="1"/>
  <c r="R166" i="8"/>
  <c r="S166" i="8"/>
  <c r="T166" i="8" s="1"/>
  <c r="R167" i="8"/>
  <c r="S167" i="8"/>
  <c r="T167" i="8" s="1"/>
  <c r="R168" i="8"/>
  <c r="S168" i="8"/>
  <c r="T168" i="8" s="1"/>
  <c r="R169" i="8"/>
  <c r="S169" i="8"/>
  <c r="T169" i="8" s="1"/>
  <c r="R170" i="8"/>
  <c r="S170" i="8"/>
  <c r="T170" i="8" s="1"/>
  <c r="R171" i="8"/>
  <c r="S171" i="8"/>
  <c r="T171" i="8" s="1"/>
  <c r="R172" i="8"/>
  <c r="S172" i="8"/>
  <c r="T172" i="8" s="1"/>
  <c r="R173" i="8"/>
  <c r="S173" i="8"/>
  <c r="T173" i="8" s="1"/>
  <c r="R174" i="8"/>
  <c r="S174" i="8"/>
  <c r="T174" i="8" s="1"/>
  <c r="R175" i="8"/>
  <c r="S175" i="8"/>
  <c r="T175" i="8" s="1"/>
  <c r="R176" i="8"/>
  <c r="S176" i="8"/>
  <c r="T176" i="8" s="1"/>
  <c r="R177" i="8"/>
  <c r="S177" i="8"/>
  <c r="T177" i="8" s="1"/>
  <c r="R178" i="8"/>
  <c r="S178" i="8"/>
  <c r="T178" i="8" s="1"/>
  <c r="R179" i="8"/>
  <c r="S179" i="8"/>
  <c r="T179" i="8" s="1"/>
  <c r="R180" i="8"/>
  <c r="S180" i="8"/>
  <c r="T180" i="8" s="1"/>
  <c r="R181" i="8"/>
  <c r="S181" i="8"/>
  <c r="T181" i="8" s="1"/>
  <c r="R182" i="8"/>
  <c r="S182" i="8"/>
  <c r="T182" i="8" s="1"/>
  <c r="R183" i="8"/>
  <c r="S183" i="8"/>
  <c r="T183" i="8" s="1"/>
  <c r="R184" i="8"/>
  <c r="S184" i="8"/>
  <c r="T184" i="8" s="1"/>
  <c r="R185" i="8"/>
  <c r="S185" i="8"/>
  <c r="T185" i="8" s="1"/>
  <c r="R186" i="8"/>
  <c r="S186" i="8"/>
  <c r="T186" i="8" s="1"/>
  <c r="S3" i="8"/>
  <c r="T3" i="8" s="1"/>
  <c r="R3" i="8"/>
  <c r="K2" i="16"/>
  <c r="K4" i="15"/>
  <c r="D13" i="4" l="1"/>
  <c r="K6" i="12"/>
  <c r="M6" i="12"/>
  <c r="N6" i="12"/>
  <c r="L6" i="12"/>
  <c r="B3" i="8"/>
  <c r="C13" i="4"/>
  <c r="B105" i="4"/>
  <c r="B120" i="4"/>
  <c r="O176" i="8"/>
  <c r="E176" i="8" s="1"/>
  <c r="N3" i="12" l="1"/>
  <c r="N1" i="12" s="1"/>
  <c r="K3" i="12"/>
  <c r="K1" i="12" s="1"/>
  <c r="M3" i="12"/>
  <c r="M1" i="12" s="1"/>
  <c r="L3" i="12"/>
  <c r="L1" i="12" s="1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O186" i="8"/>
  <c r="E186" i="8" s="1"/>
  <c r="O185" i="8"/>
  <c r="E185" i="8" s="1"/>
  <c r="O184" i="8"/>
  <c r="E184" i="8" s="1"/>
  <c r="O183" i="8"/>
  <c r="E183" i="8" s="1"/>
  <c r="O182" i="8"/>
  <c r="E182" i="8" s="1"/>
  <c r="O181" i="8"/>
  <c r="E181" i="8" s="1"/>
  <c r="O180" i="8"/>
  <c r="E180" i="8" s="1"/>
  <c r="O179" i="8"/>
  <c r="E179" i="8" s="1"/>
  <c r="O178" i="8"/>
  <c r="E178" i="8" s="1"/>
  <c r="O177" i="8"/>
  <c r="E177" i="8" s="1"/>
  <c r="O175" i="8"/>
  <c r="E175" i="8" s="1"/>
  <c r="O174" i="8"/>
  <c r="E174" i="8" s="1"/>
  <c r="O173" i="8"/>
  <c r="E173" i="8" s="1"/>
  <c r="O172" i="8"/>
  <c r="E172" i="8" s="1"/>
  <c r="O171" i="8"/>
  <c r="E171" i="8" s="1"/>
  <c r="O170" i="8"/>
  <c r="E170" i="8" s="1"/>
  <c r="O169" i="8"/>
  <c r="E169" i="8" s="1"/>
  <c r="O168" i="8"/>
  <c r="E168" i="8" s="1"/>
  <c r="O167" i="8"/>
  <c r="E167" i="8" s="1"/>
  <c r="O166" i="8"/>
  <c r="E166" i="8" s="1"/>
  <c r="O165" i="8"/>
  <c r="E165" i="8" s="1"/>
  <c r="O164" i="8"/>
  <c r="E164" i="8" s="1"/>
  <c r="O163" i="8"/>
  <c r="E163" i="8" s="1"/>
  <c r="O162" i="8"/>
  <c r="E162" i="8" s="1"/>
  <c r="O161" i="8"/>
  <c r="E161" i="8" s="1"/>
  <c r="O160" i="8"/>
  <c r="E160" i="8" s="1"/>
  <c r="O159" i="8"/>
  <c r="E159" i="8" s="1"/>
  <c r="O158" i="8"/>
  <c r="E158" i="8" s="1"/>
  <c r="O157" i="8"/>
  <c r="E157" i="8" s="1"/>
  <c r="O156" i="8"/>
  <c r="E156" i="8" s="1"/>
  <c r="O155" i="8"/>
  <c r="E155" i="8" s="1"/>
  <c r="O154" i="8"/>
  <c r="E154" i="8" s="1"/>
  <c r="O153" i="8"/>
  <c r="E153" i="8" s="1"/>
  <c r="O152" i="8"/>
  <c r="E152" i="8" s="1"/>
  <c r="O151" i="8"/>
  <c r="E151" i="8" s="1"/>
  <c r="O150" i="8"/>
  <c r="E150" i="8" s="1"/>
  <c r="O149" i="8"/>
  <c r="E149" i="8" s="1"/>
  <c r="O148" i="8"/>
  <c r="E148" i="8" s="1"/>
  <c r="O147" i="8"/>
  <c r="E147" i="8" s="1"/>
  <c r="O146" i="8"/>
  <c r="E146" i="8" s="1"/>
  <c r="O145" i="8"/>
  <c r="E145" i="8" s="1"/>
  <c r="O144" i="8"/>
  <c r="E144" i="8" s="1"/>
  <c r="O143" i="8"/>
  <c r="E143" i="8" s="1"/>
  <c r="O142" i="8"/>
  <c r="E142" i="8" s="1"/>
  <c r="O141" i="8"/>
  <c r="E141" i="8" s="1"/>
  <c r="O140" i="8"/>
  <c r="E140" i="8" s="1"/>
  <c r="O139" i="8"/>
  <c r="E139" i="8" s="1"/>
  <c r="O138" i="8"/>
  <c r="E138" i="8" s="1"/>
  <c r="O137" i="8"/>
  <c r="E137" i="8" s="1"/>
  <c r="O136" i="8"/>
  <c r="E136" i="8" s="1"/>
  <c r="O135" i="8"/>
  <c r="E135" i="8" s="1"/>
  <c r="O134" i="8"/>
  <c r="E134" i="8" s="1"/>
  <c r="O133" i="8"/>
  <c r="E133" i="8" s="1"/>
  <c r="O132" i="8"/>
  <c r="E132" i="8" s="1"/>
  <c r="O131" i="8"/>
  <c r="E131" i="8" s="1"/>
  <c r="O130" i="8"/>
  <c r="E130" i="8" s="1"/>
  <c r="O129" i="8"/>
  <c r="E129" i="8" s="1"/>
  <c r="O128" i="8"/>
  <c r="E128" i="8" s="1"/>
  <c r="O127" i="8"/>
  <c r="E127" i="8" s="1"/>
  <c r="O126" i="8"/>
  <c r="E126" i="8" s="1"/>
  <c r="O125" i="8"/>
  <c r="E125" i="8" s="1"/>
  <c r="O124" i="8"/>
  <c r="E124" i="8" s="1"/>
  <c r="O123" i="8"/>
  <c r="E123" i="8" s="1"/>
  <c r="O122" i="8"/>
  <c r="E122" i="8" s="1"/>
  <c r="O121" i="8"/>
  <c r="E121" i="8" s="1"/>
  <c r="O120" i="8"/>
  <c r="E120" i="8" s="1"/>
  <c r="O119" i="8"/>
  <c r="E119" i="8" s="1"/>
  <c r="O118" i="8"/>
  <c r="E118" i="8" s="1"/>
  <c r="O117" i="8"/>
  <c r="E117" i="8" s="1"/>
  <c r="O116" i="8"/>
  <c r="E116" i="8" s="1"/>
  <c r="O115" i="8"/>
  <c r="E115" i="8" s="1"/>
  <c r="O114" i="8"/>
  <c r="E114" i="8" s="1"/>
  <c r="O113" i="8"/>
  <c r="E113" i="8" s="1"/>
  <c r="O112" i="8"/>
  <c r="E112" i="8" s="1"/>
  <c r="O111" i="8"/>
  <c r="E111" i="8" s="1"/>
  <c r="O110" i="8"/>
  <c r="E110" i="8" s="1"/>
  <c r="O109" i="8"/>
  <c r="E109" i="8" s="1"/>
  <c r="O108" i="8"/>
  <c r="E108" i="8" s="1"/>
  <c r="O107" i="8"/>
  <c r="E107" i="8" s="1"/>
  <c r="O106" i="8"/>
  <c r="E106" i="8" s="1"/>
  <c r="O105" i="8"/>
  <c r="E105" i="8" s="1"/>
  <c r="O104" i="8"/>
  <c r="E104" i="8" s="1"/>
  <c r="O103" i="8"/>
  <c r="E103" i="8" s="1"/>
  <c r="O102" i="8"/>
  <c r="E102" i="8" s="1"/>
  <c r="O101" i="8"/>
  <c r="E101" i="8" s="1"/>
  <c r="O100" i="8"/>
  <c r="E100" i="8" s="1"/>
  <c r="O99" i="8"/>
  <c r="E99" i="8" s="1"/>
  <c r="O98" i="8"/>
  <c r="E98" i="8" s="1"/>
  <c r="O97" i="8"/>
  <c r="E97" i="8" s="1"/>
  <c r="O96" i="8"/>
  <c r="E96" i="8" s="1"/>
  <c r="O95" i="8"/>
  <c r="E95" i="8" s="1"/>
  <c r="O94" i="8"/>
  <c r="E94" i="8" s="1"/>
  <c r="O93" i="8"/>
  <c r="E93" i="8" s="1"/>
  <c r="O92" i="8"/>
  <c r="E92" i="8" s="1"/>
  <c r="O91" i="8"/>
  <c r="E91" i="8" s="1"/>
  <c r="O90" i="8"/>
  <c r="E90" i="8" s="1"/>
  <c r="O89" i="8"/>
  <c r="E89" i="8" s="1"/>
  <c r="O88" i="8"/>
  <c r="E88" i="8" s="1"/>
  <c r="O87" i="8"/>
  <c r="E87" i="8" s="1"/>
  <c r="O86" i="8"/>
  <c r="E86" i="8" s="1"/>
  <c r="O85" i="8"/>
  <c r="E85" i="8" s="1"/>
  <c r="O84" i="8"/>
  <c r="E84" i="8" s="1"/>
  <c r="O83" i="8"/>
  <c r="E83" i="8" s="1"/>
  <c r="O82" i="8"/>
  <c r="E82" i="8" s="1"/>
  <c r="O81" i="8"/>
  <c r="E81" i="8" s="1"/>
  <c r="O80" i="8"/>
  <c r="E80" i="8" s="1"/>
  <c r="O79" i="8"/>
  <c r="E79" i="8" s="1"/>
  <c r="O78" i="8"/>
  <c r="E78" i="8" s="1"/>
  <c r="O77" i="8"/>
  <c r="E77" i="8" s="1"/>
  <c r="O76" i="8"/>
  <c r="E76" i="8" s="1"/>
  <c r="O75" i="8"/>
  <c r="E75" i="8" s="1"/>
  <c r="O74" i="8"/>
  <c r="E74" i="8" s="1"/>
  <c r="O73" i="8"/>
  <c r="E73" i="8" s="1"/>
  <c r="O72" i="8"/>
  <c r="E72" i="8" s="1"/>
  <c r="O71" i="8"/>
  <c r="E71" i="8" s="1"/>
  <c r="O70" i="8"/>
  <c r="E70" i="8" s="1"/>
  <c r="O69" i="8"/>
  <c r="E69" i="8" s="1"/>
  <c r="O68" i="8"/>
  <c r="E68" i="8" s="1"/>
  <c r="O67" i="8"/>
  <c r="E67" i="8" s="1"/>
  <c r="O66" i="8"/>
  <c r="E66" i="8" s="1"/>
  <c r="O65" i="8"/>
  <c r="E65" i="8" s="1"/>
  <c r="O64" i="8"/>
  <c r="E64" i="8" s="1"/>
  <c r="O63" i="8"/>
  <c r="E63" i="8" s="1"/>
  <c r="O62" i="8"/>
  <c r="E62" i="8" s="1"/>
  <c r="O61" i="8"/>
  <c r="E61" i="8" s="1"/>
  <c r="O60" i="8"/>
  <c r="E60" i="8" s="1"/>
  <c r="O59" i="8"/>
  <c r="E59" i="8" s="1"/>
  <c r="O58" i="8"/>
  <c r="E58" i="8" s="1"/>
  <c r="O57" i="8"/>
  <c r="E57" i="8" s="1"/>
  <c r="O56" i="8"/>
  <c r="E56" i="8" s="1"/>
  <c r="O55" i="8"/>
  <c r="E55" i="8" s="1"/>
  <c r="O54" i="8"/>
  <c r="E54" i="8" s="1"/>
  <c r="O53" i="8"/>
  <c r="E53" i="8" s="1"/>
  <c r="O52" i="8"/>
  <c r="E52" i="8" s="1"/>
  <c r="O51" i="8"/>
  <c r="E51" i="8" s="1"/>
  <c r="O50" i="8"/>
  <c r="E50" i="8" s="1"/>
  <c r="O49" i="8"/>
  <c r="E49" i="8" s="1"/>
  <c r="O48" i="8"/>
  <c r="E48" i="8" s="1"/>
  <c r="O47" i="8"/>
  <c r="E47" i="8" s="1"/>
  <c r="O46" i="8"/>
  <c r="E46" i="8" s="1"/>
  <c r="O45" i="8"/>
  <c r="E45" i="8" s="1"/>
  <c r="O44" i="8"/>
  <c r="E44" i="8" s="1"/>
  <c r="O43" i="8"/>
  <c r="E43" i="8" s="1"/>
  <c r="O42" i="8"/>
  <c r="E42" i="8" s="1"/>
  <c r="O41" i="8"/>
  <c r="E41" i="8" s="1"/>
  <c r="O40" i="8"/>
  <c r="E40" i="8" s="1"/>
  <c r="O39" i="8"/>
  <c r="E39" i="8" s="1"/>
  <c r="O38" i="8"/>
  <c r="E38" i="8" s="1"/>
  <c r="O37" i="8"/>
  <c r="E37" i="8" s="1"/>
  <c r="O36" i="8"/>
  <c r="E36" i="8" s="1"/>
  <c r="O35" i="8"/>
  <c r="E35" i="8" s="1"/>
  <c r="O34" i="8"/>
  <c r="E34" i="8" s="1"/>
  <c r="E33" i="8"/>
  <c r="O32" i="8"/>
  <c r="E32" i="8" s="1"/>
  <c r="O31" i="8"/>
  <c r="E31" i="8" s="1"/>
  <c r="O30" i="8"/>
  <c r="E30" i="8" s="1"/>
  <c r="O29" i="8"/>
  <c r="E29" i="8" s="1"/>
  <c r="O28" i="8"/>
  <c r="E28" i="8" s="1"/>
  <c r="O27" i="8"/>
  <c r="E27" i="8" s="1"/>
  <c r="O26" i="8"/>
  <c r="E26" i="8" s="1"/>
  <c r="O25" i="8"/>
  <c r="E25" i="8" s="1"/>
  <c r="O24" i="8"/>
  <c r="E24" i="8" s="1"/>
  <c r="O23" i="8"/>
  <c r="E23" i="8" s="1"/>
  <c r="O22" i="8"/>
  <c r="E22" i="8" s="1"/>
  <c r="O21" i="8"/>
  <c r="E21" i="8" s="1"/>
  <c r="O20" i="8"/>
  <c r="E20" i="8" s="1"/>
  <c r="O19" i="8"/>
  <c r="E19" i="8" s="1"/>
  <c r="O18" i="8"/>
  <c r="E18" i="8" s="1"/>
  <c r="O17" i="8"/>
  <c r="E17" i="8" s="1"/>
  <c r="O16" i="8"/>
  <c r="E16" i="8" s="1"/>
  <c r="O15" i="8"/>
  <c r="E15" i="8" s="1"/>
  <c r="O14" i="8"/>
  <c r="E14" i="8" s="1"/>
  <c r="O13" i="8"/>
  <c r="E13" i="8" s="1"/>
  <c r="O12" i="8"/>
  <c r="E12" i="8" s="1"/>
  <c r="O11" i="8"/>
  <c r="E11" i="8" s="1"/>
  <c r="O10" i="8"/>
  <c r="E10" i="8" s="1"/>
  <c r="O9" i="8"/>
  <c r="E9" i="8" s="1"/>
  <c r="O8" i="8"/>
  <c r="E8" i="8" s="1"/>
  <c r="O7" i="8"/>
  <c r="E7" i="8" s="1"/>
  <c r="O6" i="8"/>
  <c r="E6" i="8" s="1"/>
  <c r="O5" i="8"/>
  <c r="E5" i="8" s="1"/>
  <c r="O4" i="8"/>
  <c r="E4" i="8" s="1"/>
  <c r="O3" i="8"/>
  <c r="AM1" i="8"/>
  <c r="Q15" i="8" l="1"/>
  <c r="C15" i="8" s="1"/>
  <c r="Q23" i="8"/>
  <c r="C23" i="8" s="1"/>
  <c r="Q31" i="8"/>
  <c r="C31" i="8" s="1"/>
  <c r="Q39" i="8"/>
  <c r="C39" i="8" s="1"/>
  <c r="Q47" i="8"/>
  <c r="C47" i="8" s="1"/>
  <c r="Q55" i="8"/>
  <c r="C55" i="8" s="1"/>
  <c r="Q63" i="8"/>
  <c r="C63" i="8" s="1"/>
  <c r="Q71" i="8"/>
  <c r="C71" i="8" s="1"/>
  <c r="Q79" i="8"/>
  <c r="C79" i="8" s="1"/>
  <c r="Q87" i="8"/>
  <c r="C87" i="8" s="1"/>
  <c r="Q95" i="8"/>
  <c r="C95" i="8" s="1"/>
  <c r="Q103" i="8"/>
  <c r="C103" i="8" s="1"/>
  <c r="Q111" i="8"/>
  <c r="C111" i="8" s="1"/>
  <c r="Q119" i="8"/>
  <c r="C119" i="8" s="1"/>
  <c r="Q127" i="8"/>
  <c r="C127" i="8" s="1"/>
  <c r="Q135" i="8"/>
  <c r="C135" i="8" s="1"/>
  <c r="Q143" i="8"/>
  <c r="C143" i="8" s="1"/>
  <c r="Q151" i="8"/>
  <c r="C151" i="8" s="1"/>
  <c r="Q159" i="8"/>
  <c r="C159" i="8" s="1"/>
  <c r="Q167" i="8"/>
  <c r="C167" i="8" s="1"/>
  <c r="Q175" i="8"/>
  <c r="C175" i="8" s="1"/>
  <c r="Q183" i="8"/>
  <c r="C183" i="8" s="1"/>
  <c r="Q16" i="8"/>
  <c r="C16" i="8" s="1"/>
  <c r="Q24" i="8"/>
  <c r="C24" i="8" s="1"/>
  <c r="Q32" i="8"/>
  <c r="C32" i="8" s="1"/>
  <c r="Q40" i="8"/>
  <c r="C40" i="8" s="1"/>
  <c r="Q48" i="8"/>
  <c r="C48" i="8" s="1"/>
  <c r="Q56" i="8"/>
  <c r="C56" i="8" s="1"/>
  <c r="Q64" i="8"/>
  <c r="C64" i="8" s="1"/>
  <c r="Q72" i="8"/>
  <c r="C72" i="8" s="1"/>
  <c r="Q80" i="8"/>
  <c r="C80" i="8" s="1"/>
  <c r="Q88" i="8"/>
  <c r="C88" i="8" s="1"/>
  <c r="Q96" i="8"/>
  <c r="C96" i="8" s="1"/>
  <c r="Q104" i="8"/>
  <c r="C104" i="8" s="1"/>
  <c r="Q112" i="8"/>
  <c r="C112" i="8" s="1"/>
  <c r="Q120" i="8"/>
  <c r="C120" i="8" s="1"/>
  <c r="Q128" i="8"/>
  <c r="C128" i="8" s="1"/>
  <c r="Q136" i="8"/>
  <c r="C136" i="8" s="1"/>
  <c r="Q144" i="8"/>
  <c r="C144" i="8" s="1"/>
  <c r="Q152" i="8"/>
  <c r="C152" i="8" s="1"/>
  <c r="Q160" i="8"/>
  <c r="C160" i="8" s="1"/>
  <c r="Q168" i="8"/>
  <c r="C168" i="8" s="1"/>
  <c r="Q176" i="8"/>
  <c r="C176" i="8" s="1"/>
  <c r="Q184" i="8"/>
  <c r="C184" i="8" s="1"/>
  <c r="Q17" i="8"/>
  <c r="C17" i="8" s="1"/>
  <c r="Q25" i="8"/>
  <c r="C25" i="8" s="1"/>
  <c r="Q33" i="8"/>
  <c r="C33" i="8" s="1"/>
  <c r="Q41" i="8"/>
  <c r="C41" i="8" s="1"/>
  <c r="Q49" i="8"/>
  <c r="C49" i="8" s="1"/>
  <c r="Q57" i="8"/>
  <c r="C57" i="8" s="1"/>
  <c r="Q65" i="8"/>
  <c r="C65" i="8" s="1"/>
  <c r="Q73" i="8"/>
  <c r="C73" i="8" s="1"/>
  <c r="Q81" i="8"/>
  <c r="C81" i="8" s="1"/>
  <c r="Q89" i="8"/>
  <c r="C89" i="8" s="1"/>
  <c r="Q97" i="8"/>
  <c r="C97" i="8" s="1"/>
  <c r="Q105" i="8"/>
  <c r="C105" i="8" s="1"/>
  <c r="Q113" i="8"/>
  <c r="C113" i="8" s="1"/>
  <c r="Q121" i="8"/>
  <c r="C121" i="8" s="1"/>
  <c r="Q129" i="8"/>
  <c r="C129" i="8" s="1"/>
  <c r="Q137" i="8"/>
  <c r="C137" i="8" s="1"/>
  <c r="Q145" i="8"/>
  <c r="C145" i="8" s="1"/>
  <c r="Q153" i="8"/>
  <c r="C153" i="8" s="1"/>
  <c r="Q161" i="8"/>
  <c r="C161" i="8" s="1"/>
  <c r="Q169" i="8"/>
  <c r="C169" i="8" s="1"/>
  <c r="Q177" i="8"/>
  <c r="C177" i="8" s="1"/>
  <c r="Q185" i="8"/>
  <c r="C185" i="8" s="1"/>
  <c r="Q18" i="8"/>
  <c r="C18" i="8" s="1"/>
  <c r="Q26" i="8"/>
  <c r="C26" i="8" s="1"/>
  <c r="Q34" i="8"/>
  <c r="C34" i="8" s="1"/>
  <c r="Q42" i="8"/>
  <c r="C42" i="8" s="1"/>
  <c r="Q50" i="8"/>
  <c r="C50" i="8" s="1"/>
  <c r="Q58" i="8"/>
  <c r="C58" i="8" s="1"/>
  <c r="Q66" i="8"/>
  <c r="C66" i="8" s="1"/>
  <c r="Q74" i="8"/>
  <c r="C74" i="8" s="1"/>
  <c r="Q82" i="8"/>
  <c r="C82" i="8" s="1"/>
  <c r="Q90" i="8"/>
  <c r="C90" i="8" s="1"/>
  <c r="Q98" i="8"/>
  <c r="C98" i="8" s="1"/>
  <c r="Q106" i="8"/>
  <c r="C106" i="8" s="1"/>
  <c r="Q114" i="8"/>
  <c r="C114" i="8" s="1"/>
  <c r="Q122" i="8"/>
  <c r="C122" i="8" s="1"/>
  <c r="Q130" i="8"/>
  <c r="C130" i="8" s="1"/>
  <c r="Q138" i="8"/>
  <c r="C138" i="8" s="1"/>
  <c r="Q146" i="8"/>
  <c r="C146" i="8" s="1"/>
  <c r="Q154" i="8"/>
  <c r="C154" i="8" s="1"/>
  <c r="Q162" i="8"/>
  <c r="C162" i="8" s="1"/>
  <c r="Q170" i="8"/>
  <c r="C170" i="8" s="1"/>
  <c r="Q178" i="8"/>
  <c r="C178" i="8" s="1"/>
  <c r="Q186" i="8"/>
  <c r="C186" i="8" s="1"/>
  <c r="Q19" i="8"/>
  <c r="C19" i="8" s="1"/>
  <c r="Q27" i="8"/>
  <c r="C27" i="8" s="1"/>
  <c r="Q35" i="8"/>
  <c r="C35" i="8" s="1"/>
  <c r="Q43" i="8"/>
  <c r="C43" i="8" s="1"/>
  <c r="Q51" i="8"/>
  <c r="C51" i="8" s="1"/>
  <c r="Q59" i="8"/>
  <c r="C59" i="8" s="1"/>
  <c r="Q67" i="8"/>
  <c r="D16" i="12" s="1"/>
  <c r="Q75" i="8"/>
  <c r="C75" i="8" s="1"/>
  <c r="Q83" i="8"/>
  <c r="C83" i="8" s="1"/>
  <c r="Q91" i="8"/>
  <c r="C91" i="8" s="1"/>
  <c r="Q99" i="8"/>
  <c r="C99" i="8" s="1"/>
  <c r="Q107" i="8"/>
  <c r="C107" i="8" s="1"/>
  <c r="Q115" i="8"/>
  <c r="C115" i="8" s="1"/>
  <c r="Q123" i="8"/>
  <c r="C123" i="8" s="1"/>
  <c r="Q131" i="8"/>
  <c r="C131" i="8" s="1"/>
  <c r="Q139" i="8"/>
  <c r="C139" i="8" s="1"/>
  <c r="Q147" i="8"/>
  <c r="C147" i="8" s="1"/>
  <c r="Q155" i="8"/>
  <c r="C155" i="8" s="1"/>
  <c r="Q163" i="8"/>
  <c r="C163" i="8" s="1"/>
  <c r="Q171" i="8"/>
  <c r="C171" i="8" s="1"/>
  <c r="Q179" i="8"/>
  <c r="C179" i="8" s="1"/>
  <c r="Q20" i="8"/>
  <c r="C20" i="8" s="1"/>
  <c r="Q28" i="8"/>
  <c r="C28" i="8" s="1"/>
  <c r="Q36" i="8"/>
  <c r="C36" i="8" s="1"/>
  <c r="Q44" i="8"/>
  <c r="C44" i="8" s="1"/>
  <c r="Q52" i="8"/>
  <c r="C52" i="8" s="1"/>
  <c r="Q60" i="8"/>
  <c r="C60" i="8" s="1"/>
  <c r="Q68" i="8"/>
  <c r="C68" i="8" s="1"/>
  <c r="Q76" i="8"/>
  <c r="C76" i="8" s="1"/>
  <c r="Q84" i="8"/>
  <c r="C84" i="8" s="1"/>
  <c r="Q92" i="8"/>
  <c r="C92" i="8" s="1"/>
  <c r="Q100" i="8"/>
  <c r="C100" i="8" s="1"/>
  <c r="Q108" i="8"/>
  <c r="C108" i="8" s="1"/>
  <c r="Q116" i="8"/>
  <c r="C116" i="8" s="1"/>
  <c r="Q124" i="8"/>
  <c r="C124" i="8" s="1"/>
  <c r="Q132" i="8"/>
  <c r="C132" i="8" s="1"/>
  <c r="Q140" i="8"/>
  <c r="C140" i="8" s="1"/>
  <c r="Q148" i="8"/>
  <c r="C148" i="8" s="1"/>
  <c r="Q156" i="8"/>
  <c r="C156" i="8" s="1"/>
  <c r="Q164" i="8"/>
  <c r="C164" i="8" s="1"/>
  <c r="Q172" i="8"/>
  <c r="C172" i="8" s="1"/>
  <c r="Q180" i="8"/>
  <c r="C180" i="8" s="1"/>
  <c r="Q21" i="8"/>
  <c r="C21" i="8" s="1"/>
  <c r="Q29" i="8"/>
  <c r="C29" i="8" s="1"/>
  <c r="Q37" i="8"/>
  <c r="C37" i="8" s="1"/>
  <c r="Q45" i="8"/>
  <c r="C45" i="8" s="1"/>
  <c r="Q53" i="8"/>
  <c r="C53" i="8" s="1"/>
  <c r="Q61" i="8"/>
  <c r="C61" i="8" s="1"/>
  <c r="Q69" i="8"/>
  <c r="C69" i="8" s="1"/>
  <c r="Q77" i="8"/>
  <c r="C77" i="8" s="1"/>
  <c r="Q85" i="8"/>
  <c r="C85" i="8" s="1"/>
  <c r="Q93" i="8"/>
  <c r="C93" i="8" s="1"/>
  <c r="Q101" i="8"/>
  <c r="C101" i="8" s="1"/>
  <c r="Q109" i="8"/>
  <c r="C109" i="8" s="1"/>
  <c r="Q117" i="8"/>
  <c r="C117" i="8" s="1"/>
  <c r="Q125" i="8"/>
  <c r="C125" i="8" s="1"/>
  <c r="Q133" i="8"/>
  <c r="C133" i="8" s="1"/>
  <c r="Q141" i="8"/>
  <c r="C141" i="8" s="1"/>
  <c r="Q149" i="8"/>
  <c r="C149" i="8" s="1"/>
  <c r="Q157" i="8"/>
  <c r="C157" i="8" s="1"/>
  <c r="Q165" i="8"/>
  <c r="C165" i="8" s="1"/>
  <c r="Q173" i="8"/>
  <c r="C173" i="8" s="1"/>
  <c r="Q181" i="8"/>
  <c r="C181" i="8" s="1"/>
  <c r="Q22" i="8"/>
  <c r="Q30" i="8"/>
  <c r="C30" i="8" s="1"/>
  <c r="Q38" i="8"/>
  <c r="C38" i="8" s="1"/>
  <c r="Q46" i="8"/>
  <c r="C46" i="8" s="1"/>
  <c r="Q54" i="8"/>
  <c r="C54" i="8" s="1"/>
  <c r="Q62" i="8"/>
  <c r="C62" i="8" s="1"/>
  <c r="Q70" i="8"/>
  <c r="C70" i="8" s="1"/>
  <c r="Q78" i="8"/>
  <c r="Q86" i="8"/>
  <c r="C86" i="8" s="1"/>
  <c r="Q94" i="8"/>
  <c r="C94" i="8" s="1"/>
  <c r="Q102" i="8"/>
  <c r="C102" i="8" s="1"/>
  <c r="Q110" i="8"/>
  <c r="C110" i="8" s="1"/>
  <c r="Q118" i="8"/>
  <c r="C118" i="8" s="1"/>
  <c r="Q126" i="8"/>
  <c r="C126" i="8" s="1"/>
  <c r="Q134" i="8"/>
  <c r="C134" i="8" s="1"/>
  <c r="Q142" i="8"/>
  <c r="Q150" i="8"/>
  <c r="C150" i="8" s="1"/>
  <c r="Q158" i="8"/>
  <c r="C158" i="8" s="1"/>
  <c r="Q166" i="8"/>
  <c r="C166" i="8" s="1"/>
  <c r="Q174" i="8"/>
  <c r="C174" i="8" s="1"/>
  <c r="Q182" i="8"/>
  <c r="C182" i="8" s="1"/>
  <c r="H71" i="12"/>
  <c r="H63" i="12"/>
  <c r="H55" i="12"/>
  <c r="H47" i="12"/>
  <c r="H39" i="12"/>
  <c r="H31" i="12"/>
  <c r="H23" i="12"/>
  <c r="H15" i="12"/>
  <c r="H7" i="12"/>
  <c r="E63" i="12"/>
  <c r="E55" i="12"/>
  <c r="E47" i="12"/>
  <c r="E39" i="12"/>
  <c r="E31" i="12"/>
  <c r="E23" i="12"/>
  <c r="E15" i="12"/>
  <c r="E7" i="12"/>
  <c r="D6" i="12"/>
  <c r="H53" i="12"/>
  <c r="H37" i="12"/>
  <c r="H13" i="12"/>
  <c r="E53" i="12"/>
  <c r="E13" i="12"/>
  <c r="H44" i="12"/>
  <c r="H28" i="12"/>
  <c r="E52" i="12"/>
  <c r="D11" i="12"/>
  <c r="H70" i="12"/>
  <c r="H62" i="12"/>
  <c r="H54" i="12"/>
  <c r="H46" i="12"/>
  <c r="H38" i="12"/>
  <c r="H30" i="12"/>
  <c r="H22" i="12"/>
  <c r="H14" i="12"/>
  <c r="H6" i="12"/>
  <c r="E70" i="12"/>
  <c r="E62" i="12"/>
  <c r="E54" i="12"/>
  <c r="E46" i="12"/>
  <c r="E38" i="12"/>
  <c r="E30" i="12"/>
  <c r="E22" i="12"/>
  <c r="E14" i="12"/>
  <c r="E6" i="12"/>
  <c r="H77" i="12"/>
  <c r="H69" i="12"/>
  <c r="H61" i="12"/>
  <c r="H45" i="12"/>
  <c r="H21" i="12"/>
  <c r="E77" i="12"/>
  <c r="E37" i="12"/>
  <c r="H36" i="12"/>
  <c r="E60" i="12"/>
  <c r="E28" i="12"/>
  <c r="H75" i="12"/>
  <c r="H67" i="12"/>
  <c r="H59" i="12"/>
  <c r="H51" i="12"/>
  <c r="H43" i="12"/>
  <c r="H35" i="12"/>
  <c r="H27" i="12"/>
  <c r="H19" i="12"/>
  <c r="H11" i="12"/>
  <c r="E75" i="12"/>
  <c r="E67" i="12"/>
  <c r="E59" i="12"/>
  <c r="E51" i="12"/>
  <c r="E43" i="12"/>
  <c r="E35" i="12"/>
  <c r="E27" i="12"/>
  <c r="E19" i="12"/>
  <c r="E11" i="12"/>
  <c r="D10" i="12"/>
  <c r="E61" i="12"/>
  <c r="H76" i="12"/>
  <c r="H12" i="12"/>
  <c r="E36" i="12"/>
  <c r="H74" i="12"/>
  <c r="H66" i="12"/>
  <c r="H58" i="12"/>
  <c r="H50" i="12"/>
  <c r="H42" i="12"/>
  <c r="H34" i="12"/>
  <c r="H26" i="12"/>
  <c r="H18" i="12"/>
  <c r="H10" i="12"/>
  <c r="E74" i="12"/>
  <c r="E66" i="12"/>
  <c r="E58" i="12"/>
  <c r="E50" i="12"/>
  <c r="E42" i="12"/>
  <c r="E34" i="12"/>
  <c r="E26" i="12"/>
  <c r="E18" i="12"/>
  <c r="E10" i="12"/>
  <c r="D9" i="12"/>
  <c r="E29" i="12"/>
  <c r="H60" i="12"/>
  <c r="E76" i="12"/>
  <c r="E20" i="12"/>
  <c r="H73" i="12"/>
  <c r="H65" i="12"/>
  <c r="H57" i="12"/>
  <c r="H49" i="12"/>
  <c r="H41" i="12"/>
  <c r="H33" i="12"/>
  <c r="H17" i="12"/>
  <c r="H9" i="12"/>
  <c r="E73" i="12"/>
  <c r="E65" i="12"/>
  <c r="E57" i="12"/>
  <c r="E49" i="12"/>
  <c r="E41" i="12"/>
  <c r="E33" i="12"/>
  <c r="E25" i="12"/>
  <c r="E17" i="12"/>
  <c r="E9" i="12"/>
  <c r="D8" i="12"/>
  <c r="E45" i="12"/>
  <c r="D28" i="12"/>
  <c r="H52" i="12"/>
  <c r="H20" i="12"/>
  <c r="E44" i="12"/>
  <c r="H72" i="12"/>
  <c r="H64" i="12"/>
  <c r="H56" i="12"/>
  <c r="H48" i="12"/>
  <c r="H40" i="12"/>
  <c r="H32" i="12"/>
  <c r="H24" i="12"/>
  <c r="H16" i="12"/>
  <c r="H8" i="12"/>
  <c r="E72" i="12"/>
  <c r="E64" i="12"/>
  <c r="E56" i="12"/>
  <c r="E48" i="12"/>
  <c r="E40" i="12"/>
  <c r="E32" i="12"/>
  <c r="E24" i="12"/>
  <c r="E16" i="12"/>
  <c r="E8" i="12"/>
  <c r="H29" i="12"/>
  <c r="E21" i="12"/>
  <c r="H68" i="12"/>
  <c r="E68" i="12"/>
  <c r="E12" i="12"/>
  <c r="I73" i="12"/>
  <c r="I19" i="12"/>
  <c r="I7" i="12"/>
  <c r="I56" i="12"/>
  <c r="I50" i="12"/>
  <c r="I70" i="12"/>
  <c r="I55" i="12"/>
  <c r="I51" i="12"/>
  <c r="I74" i="12"/>
  <c r="D60" i="12"/>
  <c r="D50" i="12"/>
  <c r="D20" i="12"/>
  <c r="D27" i="12"/>
  <c r="D31" i="12"/>
  <c r="J75" i="12"/>
  <c r="J47" i="12"/>
  <c r="J16" i="12"/>
  <c r="J64" i="12"/>
  <c r="J54" i="12"/>
  <c r="J36" i="12"/>
  <c r="J48" i="12"/>
  <c r="J76" i="12"/>
  <c r="J58" i="12"/>
  <c r="F57" i="12"/>
  <c r="F20" i="12"/>
  <c r="F32" i="12"/>
  <c r="F65" i="12"/>
  <c r="F30" i="12"/>
  <c r="F31" i="12"/>
  <c r="F10" i="12"/>
  <c r="G28" i="12"/>
  <c r="G50" i="12"/>
  <c r="G54" i="12"/>
  <c r="G15" i="12"/>
  <c r="G53" i="12"/>
  <c r="G56" i="12"/>
  <c r="G52" i="12"/>
  <c r="G11" i="12"/>
  <c r="G73" i="12"/>
  <c r="J18" i="12"/>
  <c r="F23" i="12"/>
  <c r="F50" i="12"/>
  <c r="G61" i="12"/>
  <c r="G14" i="12"/>
  <c r="I45" i="12"/>
  <c r="I26" i="12"/>
  <c r="I22" i="12"/>
  <c r="I23" i="12"/>
  <c r="I32" i="12"/>
  <c r="I46" i="12"/>
  <c r="I61" i="12"/>
  <c r="I53" i="12"/>
  <c r="I11" i="12"/>
  <c r="D72" i="12"/>
  <c r="D40" i="12"/>
  <c r="D49" i="12"/>
  <c r="D74" i="12"/>
  <c r="D63" i="12"/>
  <c r="D51" i="12"/>
  <c r="D15" i="12"/>
  <c r="D13" i="12"/>
  <c r="J15" i="12"/>
  <c r="J17" i="12"/>
  <c r="J12" i="12"/>
  <c r="J20" i="12"/>
  <c r="J59" i="12"/>
  <c r="J57" i="12"/>
  <c r="J25" i="12"/>
  <c r="J74" i="12"/>
  <c r="F64" i="12"/>
  <c r="F36" i="12"/>
  <c r="F52" i="12"/>
  <c r="F38" i="12"/>
  <c r="F14" i="12"/>
  <c r="F17" i="12"/>
  <c r="F21" i="12"/>
  <c r="F51" i="12"/>
  <c r="G19" i="12"/>
  <c r="G7" i="12"/>
  <c r="G25" i="12"/>
  <c r="G38" i="12"/>
  <c r="G43" i="12"/>
  <c r="G42" i="12"/>
  <c r="G76" i="12"/>
  <c r="G23" i="12"/>
  <c r="G59" i="12"/>
  <c r="J21" i="12"/>
  <c r="F56" i="12"/>
  <c r="G26" i="12"/>
  <c r="G55" i="12"/>
  <c r="G63" i="12"/>
  <c r="I35" i="12"/>
  <c r="I17" i="12"/>
  <c r="I54" i="12"/>
  <c r="I43" i="12"/>
  <c r="I13" i="12"/>
  <c r="I62" i="12"/>
  <c r="I36" i="12"/>
  <c r="D64" i="12"/>
  <c r="D34" i="12"/>
  <c r="D24" i="12"/>
  <c r="D19" i="12"/>
  <c r="D66" i="12"/>
  <c r="J31" i="12"/>
  <c r="J9" i="12"/>
  <c r="J27" i="12"/>
  <c r="J41" i="12"/>
  <c r="J13" i="12"/>
  <c r="J68" i="12"/>
  <c r="J26" i="12"/>
  <c r="J24" i="12"/>
  <c r="J34" i="12"/>
  <c r="F63" i="12"/>
  <c r="F73" i="12"/>
  <c r="F66" i="12"/>
  <c r="F45" i="12"/>
  <c r="F27" i="12"/>
  <c r="F29" i="12"/>
  <c r="F34" i="12"/>
  <c r="F39" i="12"/>
  <c r="G46" i="12"/>
  <c r="G70" i="12"/>
  <c r="G9" i="12"/>
  <c r="G65" i="12"/>
  <c r="G58" i="12"/>
  <c r="G16" i="12"/>
  <c r="G77" i="12"/>
  <c r="G27" i="12"/>
  <c r="G13" i="12"/>
  <c r="D35" i="12"/>
  <c r="D21" i="12"/>
  <c r="D52" i="12"/>
  <c r="J73" i="12"/>
  <c r="J19" i="12"/>
  <c r="J32" i="12"/>
  <c r="J43" i="12"/>
  <c r="F35" i="12"/>
  <c r="F16" i="12"/>
  <c r="G20" i="12"/>
  <c r="G71" i="12"/>
  <c r="G18" i="12"/>
  <c r="I58" i="12"/>
  <c r="I9" i="12"/>
  <c r="I37" i="12"/>
  <c r="I10" i="12"/>
  <c r="I27" i="12"/>
  <c r="I41" i="12"/>
  <c r="I33" i="12"/>
  <c r="I77" i="12"/>
  <c r="I15" i="12"/>
  <c r="D62" i="12"/>
  <c r="D32" i="12"/>
  <c r="D61" i="12"/>
  <c r="D38" i="12"/>
  <c r="D56" i="12"/>
  <c r="D48" i="12"/>
  <c r="D57" i="12"/>
  <c r="J35" i="12"/>
  <c r="J7" i="12"/>
  <c r="J11" i="12"/>
  <c r="J23" i="12"/>
  <c r="J28" i="12"/>
  <c r="J70" i="12"/>
  <c r="J29" i="12"/>
  <c r="J53" i="12"/>
  <c r="J30" i="12"/>
  <c r="F62" i="12"/>
  <c r="F48" i="12"/>
  <c r="F70" i="12"/>
  <c r="F61" i="12"/>
  <c r="F67" i="12"/>
  <c r="F22" i="12"/>
  <c r="F33" i="12"/>
  <c r="F53" i="12"/>
  <c r="G36" i="12"/>
  <c r="G60" i="12"/>
  <c r="G32" i="12"/>
  <c r="G8" i="12"/>
  <c r="G45" i="12"/>
  <c r="G39" i="12"/>
  <c r="G33" i="12"/>
  <c r="G22" i="12"/>
  <c r="G66" i="12"/>
  <c r="D65" i="12"/>
  <c r="J69" i="12"/>
  <c r="J14" i="12"/>
  <c r="J40" i="12"/>
  <c r="F54" i="12"/>
  <c r="G17" i="12"/>
  <c r="G12" i="12"/>
  <c r="G47" i="12"/>
  <c r="I31" i="12"/>
  <c r="I48" i="12"/>
  <c r="I65" i="12"/>
  <c r="I18" i="12"/>
  <c r="I76" i="12"/>
  <c r="I12" i="12"/>
  <c r="I64" i="12"/>
  <c r="I14" i="12"/>
  <c r="I60" i="12"/>
  <c r="I71" i="12"/>
  <c r="I52" i="12"/>
  <c r="I49" i="12"/>
  <c r="I59" i="12"/>
  <c r="I20" i="12"/>
  <c r="I30" i="12"/>
  <c r="I24" i="12"/>
  <c r="I69" i="12"/>
  <c r="D46" i="12"/>
  <c r="D26" i="12"/>
  <c r="D77" i="12"/>
  <c r="D33" i="12"/>
  <c r="D67" i="12"/>
  <c r="D45" i="12"/>
  <c r="D12" i="12"/>
  <c r="J45" i="12"/>
  <c r="J61" i="12"/>
  <c r="J77" i="12"/>
  <c r="J50" i="12"/>
  <c r="J51" i="12"/>
  <c r="J56" i="12"/>
  <c r="J46" i="12"/>
  <c r="J33" i="12"/>
  <c r="J60" i="12"/>
  <c r="F47" i="12"/>
  <c r="F18" i="12"/>
  <c r="F60" i="12"/>
  <c r="F8" i="12"/>
  <c r="F75" i="12"/>
  <c r="F42" i="12"/>
  <c r="F77" i="12"/>
  <c r="F11" i="12"/>
  <c r="F40" i="12"/>
  <c r="G40" i="12"/>
  <c r="G72" i="12"/>
  <c r="G10" i="12"/>
  <c r="G67" i="12"/>
  <c r="G51" i="12"/>
  <c r="G57" i="12"/>
  <c r="G24" i="12"/>
  <c r="G49" i="12"/>
  <c r="J62" i="12"/>
  <c r="F28" i="12"/>
  <c r="G48" i="12"/>
  <c r="G64" i="12"/>
  <c r="G21" i="12"/>
  <c r="G69" i="12"/>
  <c r="G37" i="12"/>
  <c r="G41" i="12"/>
  <c r="G31" i="12"/>
  <c r="F44" i="12"/>
  <c r="F24" i="12"/>
  <c r="F9" i="12"/>
  <c r="G68" i="12"/>
  <c r="G29" i="12"/>
  <c r="G34" i="12"/>
  <c r="G30" i="12"/>
  <c r="I57" i="12"/>
  <c r="I63" i="12"/>
  <c r="I40" i="12"/>
  <c r="I25" i="12"/>
  <c r="I8" i="12"/>
  <c r="I21" i="12"/>
  <c r="I34" i="12"/>
  <c r="I75" i="12"/>
  <c r="I67" i="12"/>
  <c r="D76" i="12"/>
  <c r="D17" i="12"/>
  <c r="D39" i="12"/>
  <c r="D73" i="12"/>
  <c r="J71" i="12"/>
  <c r="J67" i="12"/>
  <c r="J49" i="12"/>
  <c r="J66" i="12"/>
  <c r="J8" i="12"/>
  <c r="J72" i="12"/>
  <c r="J10" i="12"/>
  <c r="J39" i="12"/>
  <c r="F46" i="12"/>
  <c r="F19" i="12"/>
  <c r="F59" i="12"/>
  <c r="F13" i="12"/>
  <c r="G44" i="12"/>
  <c r="G35" i="12"/>
  <c r="I28" i="12"/>
  <c r="I47" i="12"/>
  <c r="I38" i="12"/>
  <c r="I44" i="12"/>
  <c r="I16" i="12"/>
  <c r="I39" i="12"/>
  <c r="I66" i="12"/>
  <c r="I72" i="12"/>
  <c r="D70" i="12"/>
  <c r="D36" i="12"/>
  <c r="D18" i="12"/>
  <c r="D47" i="12"/>
  <c r="D71" i="12"/>
  <c r="D53" i="12"/>
  <c r="D22" i="12"/>
  <c r="D30" i="12"/>
  <c r="D59" i="12"/>
  <c r="J63" i="12"/>
  <c r="J37" i="12"/>
  <c r="J65" i="12"/>
  <c r="J38" i="12"/>
  <c r="J55" i="12"/>
  <c r="J44" i="12"/>
  <c r="J22" i="12"/>
  <c r="J42" i="12"/>
  <c r="F72" i="12"/>
  <c r="F26" i="12"/>
  <c r="F15" i="12"/>
  <c r="F49" i="12"/>
  <c r="G74" i="12"/>
  <c r="G62" i="12"/>
  <c r="G75" i="12"/>
  <c r="J6" i="12"/>
  <c r="G6" i="12"/>
  <c r="F6" i="12"/>
  <c r="I6" i="12"/>
  <c r="E3" i="8"/>
  <c r="E71" i="12" l="1"/>
  <c r="D37" i="12"/>
  <c r="F74" i="12"/>
  <c r="O74" i="12" s="1"/>
  <c r="I68" i="12"/>
  <c r="F58" i="12"/>
  <c r="F55" i="12"/>
  <c r="D68" i="12"/>
  <c r="D25" i="12"/>
  <c r="F43" i="12"/>
  <c r="D44" i="12"/>
  <c r="O44" i="12" s="1"/>
  <c r="D75" i="12"/>
  <c r="O75" i="12" s="1"/>
  <c r="C142" i="8"/>
  <c r="C78" i="8"/>
  <c r="D43" i="12"/>
  <c r="C67" i="8"/>
  <c r="D41" i="12"/>
  <c r="I29" i="12"/>
  <c r="F41" i="12"/>
  <c r="C22" i="8"/>
  <c r="O70" i="12"/>
  <c r="O59" i="12"/>
  <c r="O36" i="12"/>
  <c r="O39" i="12"/>
  <c r="O73" i="12"/>
  <c r="O17" i="12"/>
  <c r="O65" i="12"/>
  <c r="O45" i="12"/>
  <c r="O53" i="12"/>
  <c r="O77" i="12"/>
  <c r="O47" i="12"/>
  <c r="O26" i="12"/>
  <c r="O61" i="12"/>
  <c r="O21" i="12"/>
  <c r="O16" i="12"/>
  <c r="Q16" i="12" s="1"/>
  <c r="O15" i="12"/>
  <c r="O31" i="12"/>
  <c r="O18" i="12"/>
  <c r="O46" i="12"/>
  <c r="O32" i="12"/>
  <c r="O35" i="12"/>
  <c r="O24" i="12"/>
  <c r="O51" i="12"/>
  <c r="O14" i="12"/>
  <c r="O34" i="12"/>
  <c r="O63" i="12"/>
  <c r="Q63" i="12" s="1"/>
  <c r="O62" i="12"/>
  <c r="O27" i="12"/>
  <c r="O30" i="12"/>
  <c r="O57" i="12"/>
  <c r="O64" i="12"/>
  <c r="O49" i="12"/>
  <c r="O20" i="12"/>
  <c r="O11" i="12"/>
  <c r="O22" i="12"/>
  <c r="O67" i="12"/>
  <c r="O48" i="12"/>
  <c r="O40" i="12"/>
  <c r="O28" i="12"/>
  <c r="Q28" i="12" s="1"/>
  <c r="O10" i="12"/>
  <c r="O33" i="12"/>
  <c r="O56" i="12"/>
  <c r="O66" i="12"/>
  <c r="O72" i="12"/>
  <c r="O50" i="12"/>
  <c r="O9" i="12"/>
  <c r="O38" i="12"/>
  <c r="O19" i="12"/>
  <c r="O13" i="12"/>
  <c r="O60" i="12"/>
  <c r="O8" i="12"/>
  <c r="G3" i="12"/>
  <c r="O6" i="12"/>
  <c r="O43" i="12" l="1"/>
  <c r="O41" i="12"/>
  <c r="F3" i="4"/>
  <c r="Q77" i="12"/>
  <c r="R44" i="12"/>
  <c r="R38" i="12"/>
  <c r="R75" i="12"/>
  <c r="T75" i="12"/>
  <c r="U75" i="12" s="1"/>
  <c r="F602" i="10"/>
  <c r="F601" i="10"/>
  <c r="F600" i="10"/>
  <c r="F599" i="10"/>
  <c r="H598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R7" i="9"/>
  <c r="B7" i="9"/>
  <c r="R6" i="9"/>
  <c r="B6" i="9"/>
  <c r="R5" i="9"/>
  <c r="B5" i="9"/>
  <c r="R4" i="9"/>
  <c r="B4" i="9"/>
  <c r="R3" i="9"/>
  <c r="B3" i="9"/>
  <c r="N1" i="9"/>
  <c r="K1" i="9"/>
  <c r="B1" i="9"/>
  <c r="P14" i="8"/>
  <c r="Q14" i="8" s="1"/>
  <c r="P13" i="8"/>
  <c r="Q13" i="8" s="1"/>
  <c r="P12" i="8"/>
  <c r="Q12" i="8" s="1"/>
  <c r="F69" i="12" s="1"/>
  <c r="P11" i="8"/>
  <c r="P10" i="8"/>
  <c r="P9" i="8"/>
  <c r="P8" i="8"/>
  <c r="P7" i="8"/>
  <c r="Q7" i="8" s="1"/>
  <c r="F71" i="12" s="1"/>
  <c r="O71" i="12" s="1"/>
  <c r="P6" i="8"/>
  <c r="P5" i="8"/>
  <c r="Q5" i="8" s="1"/>
  <c r="P4" i="8"/>
  <c r="Q4" i="8" s="1"/>
  <c r="H25" i="12" s="1"/>
  <c r="H3" i="12" s="1"/>
  <c r="P3" i="8"/>
  <c r="Q3" i="8" l="1"/>
  <c r="P1" i="8"/>
  <c r="F37" i="12"/>
  <c r="O37" i="12" s="1"/>
  <c r="Q10" i="8"/>
  <c r="D55" i="12"/>
  <c r="O55" i="12" s="1"/>
  <c r="Q6" i="8"/>
  <c r="C6" i="8" s="1"/>
  <c r="Q9" i="8"/>
  <c r="Q11" i="8"/>
  <c r="C11" i="8" s="1"/>
  <c r="Q8" i="8"/>
  <c r="C8" i="8" s="1"/>
  <c r="T77" i="12"/>
  <c r="U77" i="12" s="1"/>
  <c r="R77" i="12"/>
  <c r="S77" i="12"/>
  <c r="D54" i="12"/>
  <c r="O54" i="12" s="1"/>
  <c r="F12" i="12"/>
  <c r="O12" i="12" s="1"/>
  <c r="R12" i="12" s="1"/>
  <c r="F76" i="12"/>
  <c r="O76" i="12" s="1"/>
  <c r="O23" i="12"/>
  <c r="D69" i="12"/>
  <c r="C13" i="8"/>
  <c r="C12" i="8"/>
  <c r="C14" i="8"/>
  <c r="C10" i="8"/>
  <c r="C7" i="8"/>
  <c r="C5" i="8"/>
  <c r="C4" i="8"/>
  <c r="C9" i="8" l="1"/>
  <c r="D29" i="12"/>
  <c r="O29" i="12" s="1"/>
  <c r="D42" i="12"/>
  <c r="F68" i="12"/>
  <c r="O68" i="12" s="1"/>
  <c r="F7" i="12"/>
  <c r="O7" i="12" s="1"/>
  <c r="Q7" i="12" s="1"/>
  <c r="S7" i="12" s="1"/>
  <c r="F25" i="12"/>
  <c r="O25" i="12" s="1"/>
  <c r="J52" i="12"/>
  <c r="O52" i="12" s="1"/>
  <c r="Q1" i="8"/>
  <c r="I42" i="12"/>
  <c r="I3" i="12" s="1"/>
  <c r="T76" i="12"/>
  <c r="U76" i="12" s="1"/>
  <c r="E69" i="12"/>
  <c r="O69" i="12" s="1"/>
  <c r="D58" i="12"/>
  <c r="O58" i="12" s="1"/>
  <c r="C3" i="8"/>
  <c r="B18" i="4" s="1" a="1"/>
  <c r="B18" i="4" s="1"/>
  <c r="R43" i="12"/>
  <c r="F3" i="12" l="1"/>
  <c r="R7" i="12"/>
  <c r="J3" i="12"/>
  <c r="O42" i="12"/>
  <c r="R76" i="12"/>
  <c r="S76" i="12"/>
  <c r="B13" i="4"/>
  <c r="E13" i="4" s="1"/>
  <c r="G3" i="4" s="1"/>
  <c r="D3" i="12"/>
  <c r="E3" i="12"/>
  <c r="T65" i="12"/>
  <c r="R65" i="12"/>
  <c r="T63" i="12"/>
  <c r="U63" i="12" s="1"/>
  <c r="R63" i="12"/>
  <c r="T62" i="12"/>
  <c r="R62" i="12"/>
  <c r="T61" i="12"/>
  <c r="R61" i="12"/>
  <c r="T60" i="12"/>
  <c r="R60" i="12"/>
  <c r="T58" i="12"/>
  <c r="U58" i="12" s="1"/>
  <c r="R58" i="12"/>
  <c r="U57" i="12"/>
  <c r="R57" i="12"/>
  <c r="T54" i="12"/>
  <c r="U54" i="12" s="1"/>
  <c r="R54" i="12"/>
  <c r="T51" i="12"/>
  <c r="R51" i="12"/>
  <c r="T48" i="12"/>
  <c r="R48" i="12"/>
  <c r="T47" i="12"/>
  <c r="R47" i="12"/>
  <c r="T46" i="12"/>
  <c r="U46" i="12" s="1"/>
  <c r="R46" i="12"/>
  <c r="T45" i="12"/>
  <c r="U45" i="12" s="1"/>
  <c r="R45" i="12"/>
  <c r="T44" i="12"/>
  <c r="U44" i="12" s="1"/>
  <c r="T43" i="12"/>
  <c r="U43" i="12" s="1"/>
  <c r="T41" i="12"/>
  <c r="U41" i="12" s="1"/>
  <c r="R41" i="12"/>
  <c r="T37" i="12"/>
  <c r="U37" i="12" s="1"/>
  <c r="R37" i="12"/>
  <c r="T36" i="12"/>
  <c r="R36" i="12"/>
  <c r="T34" i="12"/>
  <c r="R34" i="12"/>
  <c r="T32" i="12"/>
  <c r="R32" i="12"/>
  <c r="T31" i="12"/>
  <c r="R31" i="12"/>
  <c r="T30" i="12"/>
  <c r="U30" i="12" s="1"/>
  <c r="R30" i="12"/>
  <c r="T29" i="12"/>
  <c r="U29" i="12" s="1"/>
  <c r="R29" i="12"/>
  <c r="T23" i="12"/>
  <c r="U23" i="12" s="1"/>
  <c r="R23" i="12"/>
  <c r="T21" i="12"/>
  <c r="R21" i="12"/>
  <c r="T19" i="12"/>
  <c r="R19" i="12"/>
  <c r="T18" i="12"/>
  <c r="R18" i="12"/>
  <c r="T17" i="12"/>
  <c r="R17" i="12"/>
  <c r="T16" i="12"/>
  <c r="U16" i="12" s="1"/>
  <c r="R16" i="12"/>
  <c r="T13" i="12"/>
  <c r="R13" i="12"/>
  <c r="T11" i="12"/>
  <c r="R11" i="12"/>
  <c r="T10" i="12"/>
  <c r="R10" i="12"/>
  <c r="T9" i="12"/>
  <c r="R9" i="12"/>
  <c r="T8" i="12"/>
  <c r="R8" i="12"/>
  <c r="T7" i="12"/>
  <c r="G13" i="4"/>
  <c r="T6" i="12"/>
  <c r="R6" i="12"/>
  <c r="F13" i="4"/>
  <c r="T69" i="12"/>
  <c r="U69" i="12" s="1"/>
  <c r="R69" i="12"/>
  <c r="R64" i="12"/>
  <c r="T64" i="12"/>
  <c r="R49" i="12"/>
  <c r="T49" i="12"/>
  <c r="R15" i="12"/>
  <c r="T15" i="12"/>
  <c r="U15" i="12" s="1"/>
  <c r="R70" i="12"/>
  <c r="T70" i="12"/>
  <c r="U70" i="12" s="1"/>
  <c r="T12" i="12"/>
  <c r="U12" i="12" s="1"/>
  <c r="O3" i="12" l="1"/>
  <c r="D1" i="12"/>
  <c r="U61" i="12"/>
  <c r="U7" i="12"/>
  <c r="O1" i="12" l="1"/>
  <c r="F1" i="12"/>
  <c r="S47" i="12"/>
  <c r="S75" i="12"/>
  <c r="S62" i="12"/>
  <c r="S46" i="12"/>
  <c r="S45" i="12"/>
  <c r="S44" i="12"/>
  <c r="S36" i="12"/>
  <c r="S60" i="12"/>
  <c r="S41" i="12"/>
  <c r="S17" i="12"/>
  <c r="S9" i="12"/>
  <c r="S65" i="12"/>
  <c r="S64" i="12"/>
  <c r="S63" i="12"/>
  <c r="S51" i="12"/>
  <c r="S70" i="12"/>
  <c r="S69" i="12"/>
  <c r="S61" i="12"/>
  <c r="S49" i="12"/>
  <c r="S21" i="12"/>
  <c r="S19" i="12"/>
  <c r="S18" i="12"/>
  <c r="S31" i="12"/>
  <c r="S48" i="12"/>
  <c r="S30" i="12"/>
  <c r="S16" i="12"/>
  <c r="S13" i="12"/>
  <c r="S12" i="12"/>
  <c r="S11" i="12"/>
  <c r="S10" i="12"/>
  <c r="S8" i="12"/>
  <c r="S43" i="12"/>
  <c r="S58" i="12"/>
  <c r="S73" i="12" l="1"/>
  <c r="S74" i="12"/>
  <c r="S22" i="12"/>
  <c r="S56" i="12"/>
  <c r="S25" i="12"/>
  <c r="S72" i="12"/>
  <c r="S42" i="12"/>
  <c r="S59" i="12"/>
  <c r="S20" i="12"/>
  <c r="S53" i="12"/>
  <c r="S14" i="12"/>
  <c r="S71" i="12"/>
  <c r="S33" i="12"/>
  <c r="S52" i="12"/>
  <c r="S55" i="12"/>
  <c r="S35" i="12"/>
  <c r="S68" i="12"/>
  <c r="S27" i="12"/>
  <c r="H13" i="4"/>
  <c r="S38" i="12"/>
  <c r="S34" i="12"/>
  <c r="S54" i="12"/>
  <c r="S37" i="12"/>
  <c r="S57" i="12"/>
  <c r="T52" i="12" l="1"/>
  <c r="U52" i="12" s="1"/>
  <c r="R52" i="12"/>
  <c r="R42" i="12"/>
  <c r="T42" i="12"/>
  <c r="U42" i="12" s="1"/>
  <c r="T33" i="12"/>
  <c r="U33" i="12" s="1"/>
  <c r="R33" i="12"/>
  <c r="T72" i="12"/>
  <c r="R72" i="12"/>
  <c r="T38" i="12"/>
  <c r="R71" i="12"/>
  <c r="T71" i="12"/>
  <c r="U71" i="12" s="1"/>
  <c r="R25" i="12"/>
  <c r="T25" i="12"/>
  <c r="T27" i="12"/>
  <c r="R27" i="12"/>
  <c r="T14" i="12"/>
  <c r="U14" i="12" s="1"/>
  <c r="R14" i="12"/>
  <c r="T56" i="12"/>
  <c r="R56" i="12"/>
  <c r="T68" i="12"/>
  <c r="U68" i="12" s="1"/>
  <c r="R68" i="12"/>
  <c r="T53" i="12"/>
  <c r="R53" i="12"/>
  <c r="R22" i="12"/>
  <c r="T22" i="12"/>
  <c r="U22" i="12" s="1"/>
  <c r="S6" i="12"/>
  <c r="T35" i="12"/>
  <c r="R35" i="12"/>
  <c r="T74" i="12"/>
  <c r="U74" i="12" s="1"/>
  <c r="R74" i="12"/>
  <c r="T26" i="12"/>
  <c r="R26" i="12"/>
  <c r="T20" i="12"/>
  <c r="U20" i="12" s="1"/>
  <c r="R20" i="12"/>
  <c r="T55" i="12"/>
  <c r="U55" i="12" s="1"/>
  <c r="R55" i="12"/>
  <c r="R59" i="12"/>
  <c r="T59" i="12"/>
  <c r="U59" i="12" s="1"/>
  <c r="T73" i="12"/>
  <c r="R73" i="12"/>
  <c r="J13" i="4" l="1"/>
  <c r="U25" i="12"/>
  <c r="U27" i="12"/>
  <c r="U26" i="12"/>
  <c r="U35" i="12"/>
  <c r="U38" i="12"/>
  <c r="U73" i="12"/>
  <c r="U72" i="12"/>
  <c r="U53" i="12"/>
  <c r="U56" i="12"/>
  <c r="S15" i="12" l="1"/>
  <c r="S40" i="12" l="1"/>
  <c r="S28" i="12"/>
  <c r="S67" i="12"/>
  <c r="S23" i="12"/>
  <c r="S39" i="12" l="1"/>
  <c r="T67" i="12"/>
  <c r="R67" i="12"/>
  <c r="T28" i="12"/>
  <c r="R28" i="12"/>
  <c r="S66" i="12"/>
  <c r="R40" i="12"/>
  <c r="T40" i="12"/>
  <c r="U67" i="12" l="1"/>
  <c r="U40" i="12"/>
  <c r="U28" i="12"/>
  <c r="T66" i="12"/>
  <c r="R66" i="12"/>
  <c r="R39" i="12"/>
  <c r="T39" i="12"/>
  <c r="U39" i="12" l="1"/>
  <c r="U66" i="12"/>
  <c r="S32" i="12"/>
  <c r="S29" i="12" l="1"/>
  <c r="I13" i="4" l="1"/>
  <c r="S24" i="12" l="1"/>
  <c r="P3" i="12"/>
  <c r="T24" i="12" l="1"/>
  <c r="R24" i="12"/>
  <c r="U24" i="12" l="1"/>
  <c r="T50" i="12" l="1"/>
  <c r="S50" i="12"/>
  <c r="S3" i="12" s="1"/>
  <c r="Q3" i="12"/>
  <c r="R3" i="12" s="1"/>
  <c r="R50" i="12"/>
  <c r="U50" i="12" l="1"/>
  <c r="T3" i="12"/>
  <c r="U3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<sst xmlns="http://schemas.openxmlformats.org/spreadsheetml/2006/main" count="9303" uniqueCount="950">
  <si>
    <t>Línea de negocio</t>
  </si>
  <si>
    <t>Nombre Terapeuta</t>
  </si>
  <si>
    <t>Alianza</t>
  </si>
  <si>
    <t>B2B</t>
  </si>
  <si>
    <t>B2C</t>
  </si>
  <si>
    <t>Hotel</t>
  </si>
  <si>
    <t>Marketing</t>
  </si>
  <si>
    <t>Camilo López Ominami</t>
  </si>
  <si>
    <t>Claudia Espinoza</t>
  </si>
  <si>
    <t>Claudia Guzmán Rigordi</t>
  </si>
  <si>
    <t>Claudia Hernández</t>
  </si>
  <si>
    <t>Daniel Peña Hernández</t>
  </si>
  <si>
    <t>Diego Guerrero Ulloa</t>
  </si>
  <si>
    <t>Eliana Benavides</t>
  </si>
  <si>
    <t>Eugenia Montoya</t>
  </si>
  <si>
    <t>Francisca Rojas Vilches</t>
  </si>
  <si>
    <t>Keiji Hamasaki</t>
  </si>
  <si>
    <t>Magdalena Castro Morgado</t>
  </si>
  <si>
    <t>Marta Sanhueza</t>
  </si>
  <si>
    <t>Pamela Cid</t>
  </si>
  <si>
    <t>Pamela Huilitraro Quezada</t>
  </si>
  <si>
    <t>Willeska Ortega</t>
  </si>
  <si>
    <t>Incidencias</t>
  </si>
  <si>
    <t xml:space="preserve">Deuda total </t>
  </si>
  <si>
    <t>Deuda Restante</t>
  </si>
  <si>
    <t>Ivvo Vergara Salinas</t>
  </si>
  <si>
    <t>Nastacha Villamizar</t>
  </si>
  <si>
    <t>Victoria Cabezas Videla</t>
  </si>
  <si>
    <t>Ximena Pastén Pino</t>
  </si>
  <si>
    <t>Terapeuta</t>
  </si>
  <si>
    <t>Fecha Evento</t>
  </si>
  <si>
    <t>Duración</t>
  </si>
  <si>
    <t>Servicio</t>
  </si>
  <si>
    <t>Doubletree Bloque 1</t>
  </si>
  <si>
    <t>Camilla</t>
  </si>
  <si>
    <t>Doubletree Bloque 2</t>
  </si>
  <si>
    <t>INCIDENCIAS</t>
  </si>
  <si>
    <t>Quincena</t>
  </si>
  <si>
    <t>Mes</t>
  </si>
  <si>
    <t>Fecha</t>
  </si>
  <si>
    <t>Eventos</t>
  </si>
  <si>
    <t>Monto Boleta</t>
  </si>
  <si>
    <t>Comuna</t>
  </si>
  <si>
    <t>Marcia Villegas</t>
  </si>
  <si>
    <t>Natalia Cruz</t>
  </si>
  <si>
    <t>Rafael Riquelme Valdebenito</t>
  </si>
  <si>
    <t xml:space="preserve"> </t>
  </si>
  <si>
    <t>Tipo de Servicio</t>
  </si>
  <si>
    <t>Precio Lista</t>
  </si>
  <si>
    <t>Comisión Tp</t>
  </si>
  <si>
    <t>País</t>
  </si>
  <si>
    <t>ID Reserva</t>
  </si>
  <si>
    <t>Fecha pago</t>
  </si>
  <si>
    <t>Fecha reserva</t>
  </si>
  <si>
    <t>Hora reserva</t>
  </si>
  <si>
    <t>Método de pago</t>
  </si>
  <si>
    <t>Plataforma</t>
  </si>
  <si>
    <t>Categoría</t>
  </si>
  <si>
    <t>Tipo</t>
  </si>
  <si>
    <t>Precio de lista</t>
  </si>
  <si>
    <t>Monto pagado</t>
  </si>
  <si>
    <t>Monto Addons</t>
  </si>
  <si>
    <t>Monto Certificado/Wallet</t>
  </si>
  <si>
    <t>Monto Promocode</t>
  </si>
  <si>
    <t>Comisión terapeuta</t>
  </si>
  <si>
    <t>Promocode</t>
  </si>
  <si>
    <t>ID CR</t>
  </si>
  <si>
    <t>ID Lote CR</t>
  </si>
  <si>
    <t>Nombre Lote CR</t>
  </si>
  <si>
    <t>ID Cliente</t>
  </si>
  <si>
    <t>Nombre Cliente</t>
  </si>
  <si>
    <t>Zona</t>
  </si>
  <si>
    <t>Ciudad</t>
  </si>
  <si>
    <t>ID Terapeuta</t>
  </si>
  <si>
    <t>Estatus</t>
  </si>
  <si>
    <t>Comentarios internos</t>
  </si>
  <si>
    <t>Calificación del servicio</t>
  </si>
  <si>
    <t>Calificación del terapeuta</t>
  </si>
  <si>
    <t>Comentario del usuario</t>
  </si>
  <si>
    <t>Link del Dashboard</t>
  </si>
  <si>
    <t>CL</t>
  </si>
  <si>
    <t>Dashboard</t>
  </si>
  <si>
    <t>Masaje</t>
  </si>
  <si>
    <t>Individual</t>
  </si>
  <si>
    <t>60min</t>
  </si>
  <si>
    <t>Relajante</t>
  </si>
  <si>
    <t/>
  </si>
  <si>
    <t>8LOSg5cHsn</t>
  </si>
  <si>
    <t>Doubletree Las Condes</t>
  </si>
  <si>
    <t>LAS CONDES</t>
  </si>
  <si>
    <t>SANTIAGO DE CHILE</t>
  </si>
  <si>
    <t>lHeDnjpSlr</t>
  </si>
  <si>
    <t>Terminado</t>
  </si>
  <si>
    <t>Addon</t>
  </si>
  <si>
    <t>15min</t>
  </si>
  <si>
    <t>Reflexología</t>
  </si>
  <si>
    <t>Craneofacial</t>
  </si>
  <si>
    <t>17:00</t>
  </si>
  <si>
    <t>MercadoPago</t>
  </si>
  <si>
    <t>App</t>
  </si>
  <si>
    <t>Prenatal</t>
  </si>
  <si>
    <t>COLINA</t>
  </si>
  <si>
    <t>LZexIBKIb9</t>
  </si>
  <si>
    <t>Ninguno</t>
  </si>
  <si>
    <t>Extra</t>
  </si>
  <si>
    <t>-</t>
  </si>
  <si>
    <t>Extra de transporte</t>
  </si>
  <si>
    <t>18:30</t>
  </si>
  <si>
    <t>LO BARNECHEA</t>
  </si>
  <si>
    <t>TcqJ1GTAe6</t>
  </si>
  <si>
    <t>Head Massage</t>
  </si>
  <si>
    <t>20:30</t>
  </si>
  <si>
    <t>fElb45B7t1</t>
  </si>
  <si>
    <t>Yoga Facial</t>
  </si>
  <si>
    <t>21:00</t>
  </si>
  <si>
    <t>VITACURA</t>
  </si>
  <si>
    <t>sCjPHkWoRk</t>
  </si>
  <si>
    <t>Wallet</t>
  </si>
  <si>
    <t>11:00</t>
  </si>
  <si>
    <t>Pareja</t>
  </si>
  <si>
    <t>120min</t>
  </si>
  <si>
    <t>EMve3EpKM7</t>
  </si>
  <si>
    <t>17:30</t>
  </si>
  <si>
    <t>Tejido profundo</t>
  </si>
  <si>
    <t>OLPG5ZHFBh</t>
  </si>
  <si>
    <t>Bidasoa</t>
  </si>
  <si>
    <t>30min</t>
  </si>
  <si>
    <t>Masaje Tiempo Extra</t>
  </si>
  <si>
    <t>19:00</t>
  </si>
  <si>
    <t>Drenaje Linfático</t>
  </si>
  <si>
    <t>20:00</t>
  </si>
  <si>
    <t>Web</t>
  </si>
  <si>
    <t>13:00</t>
  </si>
  <si>
    <t>KaasnzolTJ</t>
  </si>
  <si>
    <t>16:00</t>
  </si>
  <si>
    <t>Certificado B2B</t>
  </si>
  <si>
    <t>AlqePd7Qkf</t>
  </si>
  <si>
    <t>Facial</t>
  </si>
  <si>
    <t>Hidratación Profunda</t>
  </si>
  <si>
    <t>dStJ6DrFlA</t>
  </si>
  <si>
    <t>Debaines</t>
  </si>
  <si>
    <t>WQqvAzSfjW</t>
  </si>
  <si>
    <t>18:00</t>
  </si>
  <si>
    <t>PROVIDENCIA</t>
  </si>
  <si>
    <t>K4Rt2FH54k</t>
  </si>
  <si>
    <t>BigBox</t>
  </si>
  <si>
    <t>90min</t>
  </si>
  <si>
    <t>OBiYJqDd10</t>
  </si>
  <si>
    <t>21:30</t>
  </si>
  <si>
    <t>15:00</t>
  </si>
  <si>
    <t>Deportivo</t>
  </si>
  <si>
    <t>VU9Xqc5mzI</t>
  </si>
  <si>
    <t>AHYLXCkIKG</t>
  </si>
  <si>
    <t>ÑUÑOA</t>
  </si>
  <si>
    <t>lEyyrcskFP</t>
  </si>
  <si>
    <t>10:00</t>
  </si>
  <si>
    <t>12:00</t>
  </si>
  <si>
    <t>6ZV7LOepHa</t>
  </si>
  <si>
    <t>cNyE8c3PF8</t>
  </si>
  <si>
    <t>19:30</t>
  </si>
  <si>
    <t>SANTIAGO CENTRO</t>
  </si>
  <si>
    <t>H1BBIDq5K6</t>
  </si>
  <si>
    <t>fcDLHnD5K2</t>
  </si>
  <si>
    <t>Facial + Masaje</t>
  </si>
  <si>
    <t>Wallet+MercadoPago</t>
  </si>
  <si>
    <t>Reductivo</t>
  </si>
  <si>
    <t>LhsH5cl07U</t>
  </si>
  <si>
    <t>cPkN9qBkhC</t>
  </si>
  <si>
    <t>s676FCCH2w</t>
  </si>
  <si>
    <t>T0SEBOolne</t>
  </si>
  <si>
    <t>Certificado B2C</t>
  </si>
  <si>
    <t>LA REINA</t>
  </si>
  <si>
    <t>Transferencia</t>
  </si>
  <si>
    <t>LA SERENA</t>
  </si>
  <si>
    <t>Precio Servicio</t>
  </si>
  <si>
    <t>Hora Reserva</t>
  </si>
  <si>
    <t>Add On</t>
  </si>
  <si>
    <t>Tiempo Add On</t>
  </si>
  <si>
    <t>FAMzZwChQs</t>
  </si>
  <si>
    <t>60 min</t>
  </si>
  <si>
    <t>N/A</t>
  </si>
  <si>
    <t>Cancelado por usuario</t>
  </si>
  <si>
    <t>Nombre huésped: Julita Steiner Número de habitación: 802</t>
  </si>
  <si>
    <t>https://admin.scape.mx/appointment/FAMzZwChQs</t>
  </si>
  <si>
    <t>2mcTu0KV3Q</t>
  </si>
  <si>
    <t>15 min</t>
  </si>
  <si>
    <t>Nombre huésped: Stephanie Coubrough. Número de habitación: 1509</t>
  </si>
  <si>
    <t>https://admin.scape.mx/appointment/2mcTu0KV3Q</t>
  </si>
  <si>
    <t>HmzhHaOQbi</t>
  </si>
  <si>
    <t>Guilermena Peirana. Número de habitación: Por confirmar en Recepción</t>
  </si>
  <si>
    <t>https://admin.scape.mx/appointment/HmzhHaOQbi</t>
  </si>
  <si>
    <t>mBc0Va06ZD</t>
  </si>
  <si>
    <t>Nombre huésped: George Sikharulidze. Número de habitación: 602</t>
  </si>
  <si>
    <t>https://admin.scape.mx/appointment/mBc0Va06ZD</t>
  </si>
  <si>
    <t>Nombre huésped: Maria Andrea Giovine Yanez Número de habitación: 503</t>
  </si>
  <si>
    <t>Tipo de servicio 1</t>
  </si>
  <si>
    <t>Concat</t>
  </si>
  <si>
    <t>Precio C/IVA</t>
  </si>
  <si>
    <t>Comisión (SIN IVA)</t>
  </si>
  <si>
    <t>ORIENTE</t>
  </si>
  <si>
    <t>Limpieza Profunda</t>
  </si>
  <si>
    <t>Teen Germaine</t>
  </si>
  <si>
    <t>The ultimate grooming facial FOR HIM</t>
  </si>
  <si>
    <t>Hidratación Profunda + Relajante</t>
  </si>
  <si>
    <t>Hidratación Profunda + Prenatal</t>
  </si>
  <si>
    <t>Hidratación Profunda + Tejido profundo</t>
  </si>
  <si>
    <t>Hidratación Profunda + Deportivo</t>
  </si>
  <si>
    <t>Limpieza Profunda + Deportivo</t>
  </si>
  <si>
    <t>PONIENTE</t>
  </si>
  <si>
    <t>NORTE</t>
  </si>
  <si>
    <t>SUR</t>
  </si>
  <si>
    <t>ZONA COSTA</t>
  </si>
  <si>
    <t>Limpieza profunda + Deportivo</t>
  </si>
  <si>
    <t>Teen Germaine + Relajante</t>
  </si>
  <si>
    <t>Teen Germaine + Prenatal</t>
  </si>
  <si>
    <t>Teen Germaine + Tejido profundo</t>
  </si>
  <si>
    <t>Teen Germaine + Deportivo</t>
  </si>
  <si>
    <t>Facial para él + Relajante</t>
  </si>
  <si>
    <t>Facial para él  + Prenatal</t>
  </si>
  <si>
    <t>Facial para él + Tejido profundo</t>
  </si>
  <si>
    <t>Facial para él  + Deportivo</t>
  </si>
  <si>
    <t>Facial para él  + Relajante</t>
  </si>
  <si>
    <t>Hidratación Profunda + Relajante 90 MIN</t>
  </si>
  <si>
    <t>Hidratación Profunda + Prenatal 90 MIN</t>
  </si>
  <si>
    <t>Hidratación Profunda + Tejido profundo 90 MIN</t>
  </si>
  <si>
    <t>Hidratación Profunda + Deportivo 90 MIN</t>
  </si>
  <si>
    <t>Limpieza profunda + Deportivo 90 min</t>
  </si>
  <si>
    <t>Limpieza profunda + Drenaje Linfático</t>
  </si>
  <si>
    <t>Limpieza Profunda + Drenaje Linfático</t>
  </si>
  <si>
    <t>Teen Germaine + Relajante 60 MIN</t>
  </si>
  <si>
    <t>Teen Germaine + Prenatal 60 MIN</t>
  </si>
  <si>
    <t>Teen Germaine + Tejido profundo 60 MIN</t>
  </si>
  <si>
    <t>Teen Germaine + Deportivo 60 MIN</t>
  </si>
  <si>
    <t>Teen Germaine + Relajante 90 MIN</t>
  </si>
  <si>
    <t>Teen Germaine + Prenatal 90 MIN</t>
  </si>
  <si>
    <t>Teen Germaine + Tejido profundo 90 MIN</t>
  </si>
  <si>
    <t>Teen Germaine + Deportivo 90 MIN</t>
  </si>
  <si>
    <t>Facial para él  + Relajante 90 MIN</t>
  </si>
  <si>
    <t>Facial para él  + Prenatal 90 MIN</t>
  </si>
  <si>
    <t>Facial para él  + Tejido profundo 90 MIN</t>
  </si>
  <si>
    <t>Facial para él  + Deportivo 90 MIN</t>
  </si>
  <si>
    <t>Limpieza Profunda + Prenatal</t>
  </si>
  <si>
    <t>Limpieza Profunda + Prenatal 90 MIN</t>
  </si>
  <si>
    <t>Limpieza Profunda + Relajante</t>
  </si>
  <si>
    <t>Limpieza Profunda + Relajante 60 MIN</t>
  </si>
  <si>
    <t>Facial para él</t>
  </si>
  <si>
    <t>Limpieza Profunda + Relajante 90 MIN</t>
  </si>
  <si>
    <t xml:space="preserve">Hidratación Profunda + Prenatal </t>
  </si>
  <si>
    <t xml:space="preserve">Hidratación Profunda + Tejido profundo </t>
  </si>
  <si>
    <t xml:space="preserve">Hidratación Profunda + Deportivo </t>
  </si>
  <si>
    <t xml:space="preserve">Limpieza Profunda + Relajante </t>
  </si>
  <si>
    <t>Limpieza Profunda + Tejido profundo</t>
  </si>
  <si>
    <t>Limpieza Profunda + Tejido profundo 60 MIN</t>
  </si>
  <si>
    <t xml:space="preserve">Teen Germaine + Relajante </t>
  </si>
  <si>
    <t xml:space="preserve">Teen Germaine + Prenatal </t>
  </si>
  <si>
    <t xml:space="preserve">Teen Germaine + Tejido profundo </t>
  </si>
  <si>
    <t xml:space="preserve">Teen Germaine + Deportivo </t>
  </si>
  <si>
    <t xml:space="preserve">Facial para él  + Relajante </t>
  </si>
  <si>
    <t xml:space="preserve">Facial para él  + Prenatal </t>
  </si>
  <si>
    <t xml:space="preserve">Facial para él  + Tejido profundo </t>
  </si>
  <si>
    <t xml:space="preserve">Facial para él  + Deportivo </t>
  </si>
  <si>
    <t>Facial ISDIN by Scape</t>
  </si>
  <si>
    <t>Grupo 2</t>
  </si>
  <si>
    <t>Hidratación Profunda + Drenaje Linfático</t>
  </si>
  <si>
    <t>Limpieza Profunda + Tejido profundo 90 MIN</t>
  </si>
  <si>
    <t xml:space="preserve">Limpieza Profunda + Tejido profundo </t>
  </si>
  <si>
    <t>Facial ISDIN by Scape + Relajante</t>
  </si>
  <si>
    <t>ZONA IQUIQUE</t>
  </si>
  <si>
    <t>Costo Extra</t>
  </si>
  <si>
    <t>Transporte</t>
  </si>
  <si>
    <t>Teen Germaine + Drenaje Linfático</t>
  </si>
  <si>
    <t>Teen Germaine + Drenaje Linfático 60 min</t>
  </si>
  <si>
    <t xml:space="preserve">Teen Germaine + Drenaje Linfático </t>
  </si>
  <si>
    <t>Cortesía</t>
  </si>
  <si>
    <t>Sin grupo</t>
  </si>
  <si>
    <t>Facial ISDIN by Scape + Tejido profundo</t>
  </si>
  <si>
    <t>ZONA PUERTO MONTT</t>
  </si>
  <si>
    <t>ZONA PUERTO VARAS</t>
  </si>
  <si>
    <t>Certificado Marketing</t>
  </si>
  <si>
    <t>link_mercado_pago</t>
  </si>
  <si>
    <t>Certificado Partnership</t>
  </si>
  <si>
    <t>Giveaway box</t>
  </si>
  <si>
    <t>José Ignacio Palma</t>
  </si>
  <si>
    <t>8XxvYFGkfD</t>
  </si>
  <si>
    <t>YXU4LTuTwm</t>
  </si>
  <si>
    <t>oWzYY3pJCT</t>
  </si>
  <si>
    <t>CZf8dkwcHI</t>
  </si>
  <si>
    <t>Lorena Esparza Aguilar</t>
  </si>
  <si>
    <t>17326936-6</t>
  </si>
  <si>
    <t>13441148-1</t>
  </si>
  <si>
    <t>15353076-9</t>
  </si>
  <si>
    <t>23098075-6</t>
  </si>
  <si>
    <t>19585499-8</t>
  </si>
  <si>
    <t>15893769-7</t>
  </si>
  <si>
    <t>15168787-3</t>
  </si>
  <si>
    <t>12897620-5</t>
  </si>
  <si>
    <t>17379695-1</t>
  </si>
  <si>
    <t>26598096-1</t>
  </si>
  <si>
    <t>27828546-4</t>
  </si>
  <si>
    <t>19232974-4</t>
  </si>
  <si>
    <t>20615813-1</t>
  </si>
  <si>
    <t>17325262-5</t>
  </si>
  <si>
    <t>13335240-6</t>
  </si>
  <si>
    <t>12051775-9</t>
  </si>
  <si>
    <t>8008360-2</t>
  </si>
  <si>
    <t>18881513-8</t>
  </si>
  <si>
    <t>26330714-3</t>
  </si>
  <si>
    <t>25310926-2</t>
  </si>
  <si>
    <t>17681238-9</t>
  </si>
  <si>
    <t>26510057-0</t>
  </si>
  <si>
    <t>19700904-7</t>
  </si>
  <si>
    <t>17707188-9</t>
  </si>
  <si>
    <t>25541617-0</t>
  </si>
  <si>
    <t>17003238-1</t>
  </si>
  <si>
    <t>16746463-7</t>
  </si>
  <si>
    <t>mG3LpIYbKw</t>
  </si>
  <si>
    <t>Sergio Rodríguez</t>
  </si>
  <si>
    <t>Gng1E8S7ih</t>
  </si>
  <si>
    <t>Karin Brilovich</t>
  </si>
  <si>
    <t>16371373-K</t>
  </si>
  <si>
    <t>13715658-K</t>
  </si>
  <si>
    <t>16725537-K</t>
  </si>
  <si>
    <t>19948116-9</t>
  </si>
  <si>
    <t>19668624-K</t>
  </si>
  <si>
    <t>9384198-0</t>
  </si>
  <si>
    <t>19027666-K</t>
  </si>
  <si>
    <t>27988098-6</t>
  </si>
  <si>
    <t>gift_b2b+mercadopagoCheckout</t>
  </si>
  <si>
    <t>ra5a78TtXL</t>
  </si>
  <si>
    <t>Nathaly Valenzuela</t>
  </si>
  <si>
    <t>kYLXGUMYDV</t>
  </si>
  <si>
    <t>Carla Carmona</t>
  </si>
  <si>
    <t>JPFNTopbP5</t>
  </si>
  <si>
    <t>QQKfmaBHOZ</t>
  </si>
  <si>
    <t>María José Bustos Pinchulef</t>
  </si>
  <si>
    <t>RUT</t>
  </si>
  <si>
    <t>NOMBRE TERAPEUTA</t>
  </si>
  <si>
    <t>20025768-5</t>
  </si>
  <si>
    <t>ADOLFO STEPHEN PFENG ROJAS</t>
  </si>
  <si>
    <t>ALEJANDRA PAZ SANCHEZ LENERO</t>
  </si>
  <si>
    <t>15939313-5</t>
  </si>
  <si>
    <t>ANA MARIA ORTEGA RIVAS</t>
  </si>
  <si>
    <t>15688433-2</t>
  </si>
  <si>
    <t>ANA MARIA POZAS WISTUBA  </t>
  </si>
  <si>
    <t>18480921-4</t>
  </si>
  <si>
    <t>ANDREA JUANA ALVAREZ SEPULVEDA </t>
  </si>
  <si>
    <t>24133147-4</t>
  </si>
  <si>
    <t>ANGEL LOPEZ FERNANDEZ</t>
  </si>
  <si>
    <t>26538149-9</t>
  </si>
  <si>
    <t>ANGELO JESUS OLMOS DEL VALLE</t>
  </si>
  <si>
    <t>K8aXrfxasl</t>
  </si>
  <si>
    <t>26920431-1</t>
  </si>
  <si>
    <t>ARLIDIS MARIA SANCHEZ CAMACHO</t>
  </si>
  <si>
    <t>16586101-9</t>
  </si>
  <si>
    <t>BETTINA GAJARDO</t>
  </si>
  <si>
    <t>CAMILO LOPEZ OMINAMI  </t>
  </si>
  <si>
    <t>21870821-8</t>
  </si>
  <si>
    <t>CARLA IRELA CARMONA ARTURO  </t>
  </si>
  <si>
    <t>18444844-0</t>
  </si>
  <si>
    <t>CARMEN GLORIA ADARO CARTAGENA</t>
  </si>
  <si>
    <t>18268581-K</t>
  </si>
  <si>
    <t>CAROLINA ANDREA BUSTOS PONCE</t>
  </si>
  <si>
    <t>24560038-0</t>
  </si>
  <si>
    <t>CLAUDIA MILENA DUQUE RAMIREZ  </t>
  </si>
  <si>
    <t>CLAUDIA ESTRELLA ESPINOZA CANIUQUEO</t>
  </si>
  <si>
    <t>CLAUDIA ALEJANDRA GUZMAN RIGORDI</t>
  </si>
  <si>
    <t>CLAUDIA MARIA HERNANDEZ CONTRERAS</t>
  </si>
  <si>
    <t>DANIELA ANTONIA ALARCON ELIZALDE</t>
  </si>
  <si>
    <t>DANIELA MARIA VARAS DIAZ</t>
  </si>
  <si>
    <t>5cuurO7kog</t>
  </si>
  <si>
    <t>DIEGO JOSE GUERRERO ULLOA</t>
  </si>
  <si>
    <t>MARIA ELIANA BENAVIDES HIGUERA </t>
  </si>
  <si>
    <t>13230370-3</t>
  </si>
  <si>
    <t>ESTEBAN MELLA GALLARDO</t>
  </si>
  <si>
    <t>EUGENIA ISABEL MONTOYA VIELMA</t>
  </si>
  <si>
    <t>18786881-5</t>
  </si>
  <si>
    <t>FRANCISCA ARAYA OLGUIN</t>
  </si>
  <si>
    <t>FRANCISCA ANGELICA ROJAS VILCH </t>
  </si>
  <si>
    <t>GENESIS DANIELA PIMENTEL HERRERA</t>
  </si>
  <si>
    <t>GENESIS VALENTINA SALAZAR GUEVARA</t>
  </si>
  <si>
    <t>IVVO LEANDRO VERGARA SALINAS</t>
  </si>
  <si>
    <t>oLYO1T51F3</t>
  </si>
  <si>
    <t>KARIN BRILOVICH KLEINKOPF</t>
  </si>
  <si>
    <t>MACARENA SOFIA GONZALEZ BORQUEZ</t>
  </si>
  <si>
    <t>MARIA MAGDALENA CASTRO MORGADO</t>
  </si>
  <si>
    <t>17364919-3</t>
  </si>
  <si>
    <t>MARCELA MATAMALA</t>
  </si>
  <si>
    <t>18639536-0</t>
  </si>
  <si>
    <t>MARIA FRANCISCA FREUNDT GOMEZ  </t>
  </si>
  <si>
    <t>17416146-1</t>
  </si>
  <si>
    <t>MARIA JOSE BUSTOS PINCHULEF</t>
  </si>
  <si>
    <t>22038238-9</t>
  </si>
  <si>
    <t>MARIELA MITA GALLEGUILLOS</t>
  </si>
  <si>
    <t>20095435-1</t>
  </si>
  <si>
    <t>MARTIN ALONSO QUINTEROS HENRIQUEZ</t>
  </si>
  <si>
    <t>9271701-1</t>
  </si>
  <si>
    <t>MAURICIO SANTIAGO CABRERA MALDONADO</t>
  </si>
  <si>
    <t>NASTACHA ADELHEI VILLAMIZAR GU </t>
  </si>
  <si>
    <t>Pp6XHSGcHA</t>
  </si>
  <si>
    <t>16265769-0</t>
  </si>
  <si>
    <t>NATHALY MARIANELA VALENZUELA ORELLANA</t>
  </si>
  <si>
    <t>NATALIA VALERIA CRUZ ESCARATE  </t>
  </si>
  <si>
    <t>PAMELA VERONICA CID NAVIA  </t>
  </si>
  <si>
    <t>PAMELA CONSTANZA HUILITRARO QUEZADA</t>
  </si>
  <si>
    <t>15300506-0</t>
  </si>
  <si>
    <t>DOMITILA DEL PILAR SERON ALMONACID</t>
  </si>
  <si>
    <t>18725726-3</t>
  </si>
  <si>
    <t>RAFAEL EMILIANO RIQUELME VALDEBENITO </t>
  </si>
  <si>
    <t>hmVzB2Eb6J</t>
  </si>
  <si>
    <t>19956304-1</t>
  </si>
  <si>
    <t>VALENTINA NICOLE JEREZ BRAVO</t>
  </si>
  <si>
    <t>VICTORIA ANTONIA CABEZAS VIDELA</t>
  </si>
  <si>
    <t>WENDY CAROLINA MENDEZ AVENDAÑO</t>
  </si>
  <si>
    <t>WILLESKA ORTEGA JUSTO</t>
  </si>
  <si>
    <t>XIMENA ESTEFANIA PASTEN PINO  </t>
  </si>
  <si>
    <t>18610367-K</t>
  </si>
  <si>
    <t>YASNA DEL PILAR MATUS FUENTES  </t>
  </si>
  <si>
    <t>MARCIA ANGELICA VILLEGAS BARRIOS</t>
  </si>
  <si>
    <t>19229987-K</t>
  </si>
  <si>
    <t>KIMBERLY NAOMI ORTEGA DUARTE</t>
  </si>
  <si>
    <t>KEIJI NAOKI HAMASAKI ARANGUIZ</t>
  </si>
  <si>
    <t>CLAUDIA ANDREA LEYTON FREDES</t>
  </si>
  <si>
    <t>11229241-1</t>
  </si>
  <si>
    <t>CARMEN GLORIA TAPIA MORA</t>
  </si>
  <si>
    <t>JOSE IGNACIO PALMA CASANOVA</t>
  </si>
  <si>
    <t>23785099-8</t>
  </si>
  <si>
    <t>DIEGO TOBIAS CARDENAS GARCIA</t>
  </si>
  <si>
    <t>19774861-3</t>
  </si>
  <si>
    <t>LUCERO ALEXANDRA ZAVALA VILLARROEL</t>
  </si>
  <si>
    <t>MARTA SANHUEZA</t>
  </si>
  <si>
    <t>12080901-6</t>
  </si>
  <si>
    <t>CECILIA CARRAZANA</t>
  </si>
  <si>
    <t>SERGIO RODRÍGUEZ</t>
  </si>
  <si>
    <t>17664480-K</t>
  </si>
  <si>
    <t>CARLA VERGARA FUENZALIDA</t>
  </si>
  <si>
    <t>NATALIA OLMEDO</t>
  </si>
  <si>
    <t>LORENA ESPARZA AGUILAR</t>
  </si>
  <si>
    <t>ID TP</t>
  </si>
  <si>
    <t>Extra por festivo o fin de semana</t>
  </si>
  <si>
    <t>Daniela Varas</t>
  </si>
  <si>
    <t>Angelo Olmos</t>
  </si>
  <si>
    <t>PR Zandra Angulo</t>
  </si>
  <si>
    <t>Certificado de Regalo Marketing + MercadoPago</t>
  </si>
  <si>
    <t>ZONA CORDILLERANA</t>
  </si>
  <si>
    <t>Claudia Leyton Fredes</t>
  </si>
  <si>
    <t>Wendy Méndez</t>
  </si>
  <si>
    <t>18531533-9</t>
  </si>
  <si>
    <t>EDUARDO DE LA CUADRA PINO</t>
  </si>
  <si>
    <t>23019501-3</t>
  </si>
  <si>
    <t>LEIDY ESPINOZA MONTOYA</t>
  </si>
  <si>
    <t>14565839-K</t>
  </si>
  <si>
    <t>LILIANA ALEJANDRA FERNÁNDEZ ABARCA</t>
  </si>
  <si>
    <t>HOTEL</t>
  </si>
  <si>
    <t>ALIANZA</t>
  </si>
  <si>
    <t>MARKETING</t>
  </si>
  <si>
    <t>EVENTO B2B</t>
  </si>
  <si>
    <t>TURNO HOTEL DT</t>
  </si>
  <si>
    <t>EVENTO MKT</t>
  </si>
  <si>
    <t>MONTO BOLETA</t>
  </si>
  <si>
    <t>DEUDA TOTAL</t>
  </si>
  <si>
    <t>DCTO QUINCENA</t>
  </si>
  <si>
    <t>% DCTO</t>
  </si>
  <si>
    <t>DEUDA RESTANTE</t>
  </si>
  <si>
    <t>A PAGO QUINCENA</t>
  </si>
  <si>
    <t>NOMBRE TP DASH</t>
  </si>
  <si>
    <t>Año</t>
  </si>
  <si>
    <t>Línea de Negocio</t>
  </si>
  <si>
    <t>Nombre Tp</t>
  </si>
  <si>
    <t>Tipo Servicio</t>
  </si>
  <si>
    <t>Comisión</t>
  </si>
  <si>
    <t>DANIEL ABRAHAM ISAAC PEÑA HERNANDEZ</t>
  </si>
  <si>
    <t>Hrs evento</t>
  </si>
  <si>
    <t>Quinc.</t>
  </si>
  <si>
    <t>Monto Incidencia Tps</t>
  </si>
  <si>
    <t>Tipo de Incidencia</t>
  </si>
  <si>
    <t>Detalle Incidencia</t>
  </si>
  <si>
    <t>Seleccionar de la lista desplegable</t>
  </si>
  <si>
    <t>Nombre Terapeuta:</t>
  </si>
  <si>
    <t>Total Servicios</t>
  </si>
  <si>
    <t>Descuentos</t>
  </si>
  <si>
    <t>% Dcto.</t>
  </si>
  <si>
    <t>Monto a pago</t>
  </si>
  <si>
    <t>RESUMEN</t>
  </si>
  <si>
    <t>SERVICIOS</t>
  </si>
  <si>
    <t>EVENTOS / TURNOS DT</t>
  </si>
  <si>
    <t>Calificación servicio</t>
  </si>
  <si>
    <t>Comentario usuario</t>
  </si>
  <si>
    <t>Mes:</t>
  </si>
  <si>
    <t>Quincena:</t>
  </si>
  <si>
    <t>Día</t>
  </si>
  <si>
    <t>Calificación terapeuta</t>
  </si>
  <si>
    <t>Detalle</t>
  </si>
  <si>
    <t>Cliente / Evento</t>
  </si>
  <si>
    <t>Hrs</t>
  </si>
  <si>
    <t>Validación</t>
  </si>
  <si>
    <t>Total Hoja Resumen</t>
  </si>
  <si>
    <t>10:30</t>
  </si>
  <si>
    <t>Cecilia Carrazana</t>
  </si>
  <si>
    <t>Leydi Espinoza</t>
  </si>
  <si>
    <t>Mauricio Cabrera</t>
  </si>
  <si>
    <t>zGFIHkbtD7</t>
  </si>
  <si>
    <t>Nombre Partnership</t>
  </si>
  <si>
    <t>TaxID Partnership</t>
  </si>
  <si>
    <t>Líneas de Negocio</t>
  </si>
  <si>
    <t>16744004-5</t>
  </si>
  <si>
    <t>FRANCISCA PAULA SAAVEDRA ROJAS</t>
  </si>
  <si>
    <t>Francisca Saavedra</t>
  </si>
  <si>
    <t>Claudia Duque</t>
  </si>
  <si>
    <t>Martin Quinteros</t>
  </si>
  <si>
    <t>Silla</t>
  </si>
  <si>
    <t>Daniela Alarcón</t>
  </si>
  <si>
    <t>Alejandra Sánchez</t>
  </si>
  <si>
    <t>Nancy Tiempo Leongas</t>
  </si>
  <si>
    <t>Eduardo De La Cuadra</t>
  </si>
  <si>
    <t>2CNbCwEkwd</t>
  </si>
  <si>
    <t>bigbox_chile</t>
  </si>
  <si>
    <t>Carolina Bustos</t>
  </si>
  <si>
    <t>Bettina Gajardo</t>
  </si>
  <si>
    <t>pr_zandra</t>
  </si>
  <si>
    <t>Kimberly Ortega</t>
  </si>
  <si>
    <t>NANCY TIEMPO LEONGAS</t>
  </si>
  <si>
    <t>VALIDADOR</t>
  </si>
  <si>
    <t>partnership</t>
  </si>
  <si>
    <t>Ma. Francisca Freundt Gomez</t>
  </si>
  <si>
    <t>Valentina Urzua</t>
  </si>
  <si>
    <t>14:00</t>
  </si>
  <si>
    <t>Katherine Feliú</t>
  </si>
  <si>
    <t>Certificado B2C + MercadoPago</t>
  </si>
  <si>
    <t>PR Sofía Mireles</t>
  </si>
  <si>
    <t>17495969-2</t>
  </si>
  <si>
    <t>ELENA MUÑOZ MUÑOZ</t>
  </si>
  <si>
    <t>Elena Muñoz</t>
  </si>
  <si>
    <t>CERTIFICADO B2B</t>
  </si>
  <si>
    <t>CERTIFICADO B2C</t>
  </si>
  <si>
    <t>14:30</t>
  </si>
  <si>
    <t>soyte10</t>
  </si>
  <si>
    <t>13:30</t>
  </si>
  <si>
    <t>ZxKbestgvA</t>
  </si>
  <si>
    <t>Diana Bolocco Fonck</t>
  </si>
  <si>
    <t>12:30</t>
  </si>
  <si>
    <t>Camila Villaseca Azocar</t>
  </si>
  <si>
    <t>CHICUREO</t>
  </si>
  <si>
    <t>vhMNGEfZcR</t>
  </si>
  <si>
    <t>Verónica González</t>
  </si>
  <si>
    <t>SAN MIGUEL</t>
  </si>
  <si>
    <t>2026-06-11</t>
  </si>
  <si>
    <t>SOYTE</t>
  </si>
  <si>
    <t>16910373-9</t>
  </si>
  <si>
    <t>CAMILA ANDREA VILLASECA AZOCAR</t>
  </si>
  <si>
    <t>Valentina Salazar Guevara</t>
  </si>
  <si>
    <t>S8r8jekweW</t>
  </si>
  <si>
    <t>Vania Hidalgo</t>
  </si>
  <si>
    <t>Génesis Pimentel</t>
  </si>
  <si>
    <t>2026-06-21</t>
  </si>
  <si>
    <t>09:00</t>
  </si>
  <si>
    <t>rcZ6dqpZiR</t>
  </si>
  <si>
    <t>Rodrigo Susaeta</t>
  </si>
  <si>
    <t>MOOpcMxARc</t>
  </si>
  <si>
    <t>Marianella  Gonzalez</t>
  </si>
  <si>
    <t>DIANA</t>
  </si>
  <si>
    <t>2026-06-26</t>
  </si>
  <si>
    <t>2026-06-29</t>
  </si>
  <si>
    <t>2026-06-30</t>
  </si>
  <si>
    <t>Cancelación hotel</t>
  </si>
  <si>
    <t>Huésped desiste del servicio.</t>
  </si>
  <si>
    <t>qQB5yF3zyz</t>
  </si>
  <si>
    <t>2026-07-01</t>
  </si>
  <si>
    <t>enypO2xGpF</t>
  </si>
  <si>
    <t>n4GPXYix4T</t>
  </si>
  <si>
    <t>Mariella Pellegrini</t>
  </si>
  <si>
    <t>https://admin.scape.mx/appointment/qQB5yF3zyz</t>
  </si>
  <si>
    <t>4fSPotDG0D</t>
  </si>
  <si>
    <t>2026-07-02</t>
  </si>
  <si>
    <t>IMYsRBDRAV</t>
  </si>
  <si>
    <t>DbxjRuFBeH</t>
  </si>
  <si>
    <t>Galgo60</t>
  </si>
  <si>
    <t>w0BFLkhpWC</t>
  </si>
  <si>
    <t>Dayana Gonzalez Arismendy</t>
  </si>
  <si>
    <t>ESTACIÓN CENTRAL</t>
  </si>
  <si>
    <t>https://admin.scape.mx/appointment/4fSPotDG0D</t>
  </si>
  <si>
    <t>B89Wrkf48I</t>
  </si>
  <si>
    <t>mIoUUAyjSk</t>
  </si>
  <si>
    <t>Rosario Vacarezza Armendariz</t>
  </si>
  <si>
    <t>https://admin.scape.mx/appointment/B89Wrkf48I</t>
  </si>
  <si>
    <t>iCSfEb8NDQ</t>
  </si>
  <si>
    <t>Huésped: Fernando Gelman. Hab: TBC.</t>
  </si>
  <si>
    <t>https://admin.scape.mx/appointment/iCSfEb8NDQ</t>
  </si>
  <si>
    <t>YiZcUqymqq</t>
  </si>
  <si>
    <t>hPFEtZ3KGh</t>
  </si>
  <si>
    <t>Aubrey Hotel Boutique</t>
  </si>
  <si>
    <t>Huéspedes: Andres Valenzuela &amp; Dominique Rousseau. Hab: 206.</t>
  </si>
  <si>
    <t>https://admin.scape.mx/appointment/YiZcUqymqq</t>
  </si>
  <si>
    <t>JALwUoNm1p</t>
  </si>
  <si>
    <t>REGRESA</t>
  </si>
  <si>
    <t>RquYBkiwrv</t>
  </si>
  <si>
    <t>Magdalena  Casanueva</t>
  </si>
  <si>
    <t>https://admin.scape.mx/appointment/JALwUoNm1p</t>
  </si>
  <si>
    <t>DiEDsDnENu</t>
  </si>
  <si>
    <t>2026-07-03</t>
  </si>
  <si>
    <t>Bixoh0LizH</t>
  </si>
  <si>
    <t>Hotel Pullman Vitacura</t>
  </si>
  <si>
    <t>Habitación 607</t>
  </si>
  <si>
    <t>https://admin.scape.mx/appointment/DiEDsDnENu</t>
  </si>
  <si>
    <t>OVvsoEIs4l</t>
  </si>
  <si>
    <t>Huésped: Donald Moore. Hab: 706.</t>
  </si>
  <si>
    <t>https://admin.scape.mx/appointment/OVvsoEIs4l</t>
  </si>
  <si>
    <t>JMMJCArMNY</t>
  </si>
  <si>
    <t>Maku González Borquez</t>
  </si>
  <si>
    <t>https://admin.scape.mx/appointment/JMMJCArMNY</t>
  </si>
  <si>
    <t>qSdRlkTh8N</t>
  </si>
  <si>
    <t>44JFbPXfzj</t>
  </si>
  <si>
    <t>María Angélica Cossio Jara</t>
  </si>
  <si>
    <t>se libera por enfermedad viral</t>
  </si>
  <si>
    <t>https://admin.scape.mx/appointment/qSdRlkTh8N</t>
  </si>
  <si>
    <t>he0VwsjaVz</t>
  </si>
  <si>
    <t>nBknYlqovO</t>
  </si>
  <si>
    <t>Francisca Velasco Guzmán</t>
  </si>
  <si>
    <t>https://admin.scape.mx/appointment/he0VwsjaVz</t>
  </si>
  <si>
    <t>cXSA6nSHl9</t>
  </si>
  <si>
    <t>Huésped: Tobias Musonda. Hab: 1012. Solicita: Benjamín Suazo.</t>
  </si>
  <si>
    <t>https://admin.scape.mx/appointment/cXSA6nSHl9</t>
  </si>
  <si>
    <t>NmuDkPTrB2</t>
  </si>
  <si>
    <t>Habitación 902</t>
  </si>
  <si>
    <t>https://admin.scape.mx/appointment/NmuDkPTrB2</t>
  </si>
  <si>
    <t>p0HcFVREjH</t>
  </si>
  <si>
    <t>https://admin.scape.mx/appointment/p0HcFVREjH</t>
  </si>
  <si>
    <t>dSUS13gdIr</t>
  </si>
  <si>
    <t>Huésped: Jazmin Wakelin. Hab: 1001. Solicita: Valentina Catalán.</t>
  </si>
  <si>
    <t>https://admin.scape.mx/appointment/dSUS13gdIr</t>
  </si>
  <si>
    <t>EHdpqUBPub</t>
  </si>
  <si>
    <t>2026-07-04</t>
  </si>
  <si>
    <t>ZU6ulmEEhY</t>
  </si>
  <si>
    <t>Daniela Triantafilo Torres</t>
  </si>
  <si>
    <t>https://admin.scape.mx/appointment/EHdpqUBPub</t>
  </si>
  <si>
    <t>GwE96WbytL</t>
  </si>
  <si>
    <t>SwG82iA4by</t>
  </si>
  <si>
    <t>Claudia Rubio</t>
  </si>
  <si>
    <t>https://admin.scape.mx/appointment/GwE96WbytL</t>
  </si>
  <si>
    <t>DA49CCE7eY</t>
  </si>
  <si>
    <t>OTIJ5Jmwiu</t>
  </si>
  <si>
    <t>Macarena Martínez</t>
  </si>
  <si>
    <t>https://admin.scape.mx/appointment/DA49CCE7eY</t>
  </si>
  <si>
    <t>JXIxrxpmXj</t>
  </si>
  <si>
    <t>2026-07-05</t>
  </si>
  <si>
    <t>gQ2ZPLiDPi</t>
  </si>
  <si>
    <t>Fiorella Tovar</t>
  </si>
  <si>
    <t>https://admin.scape.mx/appointment/JXIxrxpmXj</t>
  </si>
  <si>
    <t>9O09EUNT36</t>
  </si>
  <si>
    <t>https://admin.scape.mx/appointment/9O09EUNT36</t>
  </si>
  <si>
    <t>Y7d3vFYUeW</t>
  </si>
  <si>
    <t>22:00</t>
  </si>
  <si>
    <t>https://admin.scape.mx/appointment/Y7d3vFYUeW</t>
  </si>
  <si>
    <t>cpWnUpdqqG</t>
  </si>
  <si>
    <t>2026-07-06</t>
  </si>
  <si>
    <t>qhj6WJLt3k</t>
  </si>
  <si>
    <t>xania pantoja</t>
  </si>
  <si>
    <t>https://admin.scape.mx/appointment/cpWnUpdqqG</t>
  </si>
  <si>
    <t>Wa0dgh1dV2</t>
  </si>
  <si>
    <t>e9GXEBZqeH</t>
  </si>
  <si>
    <t>Trinidad Melo</t>
  </si>
  <si>
    <t>https://admin.scape.mx/appointment/Wa0dgh1dV2</t>
  </si>
  <si>
    <t>BP7Y3AcaKp</t>
  </si>
  <si>
    <t>Habitación 406</t>
  </si>
  <si>
    <t>https://admin.scape.mx/appointment/BP7Y3AcaKp</t>
  </si>
  <si>
    <t>BzikGz0h23</t>
  </si>
  <si>
    <t>0Pd11TFENJ</t>
  </si>
  <si>
    <t>Camila Echeverria</t>
  </si>
  <si>
    <t>Me encantó mi terapeuta Génesis. Espectacular el masaje y le dio énfasis a lo que yo necesitaba.</t>
  </si>
  <si>
    <t>https://admin.scape.mx/appointment/BzikGz0h23</t>
  </si>
  <si>
    <t>1zZm6yVbHg</t>
  </si>
  <si>
    <t>2026-07-07</t>
  </si>
  <si>
    <t>4oDojB1O4e</t>
  </si>
  <si>
    <t>luz maria trivelli</t>
  </si>
  <si>
    <t>https://admin.scape.mx/appointment/1zZm6yVbHg</t>
  </si>
  <si>
    <t>UFgL1FmQrC</t>
  </si>
  <si>
    <t>s1TG7FOQXT</t>
  </si>
  <si>
    <t>Catalina Fernandez Demaria</t>
  </si>
  <si>
    <t>https://admin.scape.mx/appointment/UFgL1FmQrC</t>
  </si>
  <si>
    <t>ok1hoQ8uxM</t>
  </si>
  <si>
    <t>2026-07-08</t>
  </si>
  <si>
    <t>Nombre huésped: Mordechai Walder
Número de habitación: 905</t>
  </si>
  <si>
    <t>https://admin.scape.mx/appointment/ok1hoQ8uxM</t>
  </si>
  <si>
    <t>403utqoTwQ</t>
  </si>
  <si>
    <t>YKj5c0OZg9</t>
  </si>
  <si>
    <t>Romina Arias</t>
  </si>
  <si>
    <t>Excelente!! Me encantó, nada que decir de Magdalena. Gracias</t>
  </si>
  <si>
    <t>https://admin.scape.mx/appointment/403utqoTwQ</t>
  </si>
  <si>
    <t>7hPNZ9C9bX</t>
  </si>
  <si>
    <t>YpkJROzFdn</t>
  </si>
  <si>
    <t>Florencia  Morales</t>
  </si>
  <si>
    <t>https://admin.scape.mx/appointment/7hPNZ9C9bX</t>
  </si>
  <si>
    <t>nSqJI9AD3n</t>
  </si>
  <si>
    <t>eniZon8OF8</t>
  </si>
  <si>
    <t>Valentina Perez Merino</t>
  </si>
  <si>
    <t>https://admin.scape.mx/appointment/nSqJI9AD3n</t>
  </si>
  <si>
    <t>yMaLlR9YPD</t>
  </si>
  <si>
    <t>jlKOcsP0YM</t>
  </si>
  <si>
    <t>Hotel Director</t>
  </si>
  <si>
    <t>Huésped: Jesus Lopez Hab: 403</t>
  </si>
  <si>
    <t>https://admin.scape.mx/appointment/yMaLlR9YPD</t>
  </si>
  <si>
    <t>HtVfGeRM7N</t>
  </si>
  <si>
    <t>8gMlgSnlDX</t>
  </si>
  <si>
    <t>Barbara Maldonado Ojeda</t>
  </si>
  <si>
    <t>https://admin.scape.mx/appointment/HtVfGeRM7N</t>
  </si>
  <si>
    <t>hJfk1FipGO</t>
  </si>
  <si>
    <t>2026-07-09</t>
  </si>
  <si>
    <t>g0i9IVEy3R</t>
  </si>
  <si>
    <t>Natalia Sepulveda</t>
  </si>
  <si>
    <t>CERRILLOS</t>
  </si>
  <si>
    <t>Código Bigbox: DDNKPU2K</t>
  </si>
  <si>
    <t>https://admin.scape.mx/appointment/hJfk1FipGO</t>
  </si>
  <si>
    <t>G5NBCZMr3m</t>
  </si>
  <si>
    <t>JfIaYeeEAY</t>
  </si>
  <si>
    <t>Fernanda Arrasate</t>
  </si>
  <si>
    <t>https://admin.scape.mx/appointment/G5NBCZMr3m</t>
  </si>
  <si>
    <t>Y7brrKvrBZ</t>
  </si>
  <si>
    <t>Nombre huésped: Maria Reumann
Número de habitación: 1210</t>
  </si>
  <si>
    <t>https://admin.scape.mx/appointment/Y7brrKvrBZ</t>
  </si>
  <si>
    <t>6wiUzuzZjI</t>
  </si>
  <si>
    <t>4mZUHGo1Ok</t>
  </si>
  <si>
    <t>Nicole Sternsdorff</t>
  </si>
  <si>
    <t>https://admin.scape.mx/appointment/6wiUzuzZjI</t>
  </si>
  <si>
    <t>bB9iI1qKAi</t>
  </si>
  <si>
    <t>Habitación por confirmar</t>
  </si>
  <si>
    <t>https://admin.scape.mx/appointment/bB9iI1qKAi</t>
  </si>
  <si>
    <t>4A9VSDFdqG</t>
  </si>
  <si>
    <t>https://admin.scape.mx/appointment/4A9VSDFdqG</t>
  </si>
  <si>
    <t>BwmlYA6jXv</t>
  </si>
  <si>
    <t>https://admin.scape.mx/appointment/BwmlYA6jXv</t>
  </si>
  <si>
    <t>h1XUfdINFo</t>
  </si>
  <si>
    <t>https://admin.scape.mx/appointment/h1XUfdINFo</t>
  </si>
  <si>
    <t>8fyu0S1PRy</t>
  </si>
  <si>
    <t>https://admin.scape.mx/appointment/8fyu0S1PRy</t>
  </si>
  <si>
    <t>tt9jffqRFW</t>
  </si>
  <si>
    <t>https://admin.scape.mx/appointment/tt9jffqRFW</t>
  </si>
  <si>
    <t>oDK8WaQdmR</t>
  </si>
  <si>
    <t>https://admin.scape.mx/appointment/oDK8WaQdmR</t>
  </si>
  <si>
    <t>Ltwl503bgi</t>
  </si>
  <si>
    <t>https://admin.scape.mx/appointment/Ltwl503bgi</t>
  </si>
  <si>
    <t>xYcNUbSpLF</t>
  </si>
  <si>
    <t>https://admin.scape.mx/appointment/xYcNUbSpLF</t>
  </si>
  <si>
    <t>ZlDpW6rdvl</t>
  </si>
  <si>
    <t>Nombre huésped: Sungbok Kwak
Número de habitación: 404</t>
  </si>
  <si>
    <t>https://admin.scape.mx/appointment/ZlDpW6rdvl</t>
  </si>
  <si>
    <t>5tkgBzNkXR</t>
  </si>
  <si>
    <t>Huésped: Alejandra Lazo. Hab: 720. Solicita: Paulina Sepúlveda.</t>
  </si>
  <si>
    <t>https://admin.scape.mx/appointment/5tkgBzNkXR</t>
  </si>
  <si>
    <t>uSz0k9wWsk</t>
  </si>
  <si>
    <t>Xz8yUcGlQQ</t>
  </si>
  <si>
    <t>Fernanda Vargas</t>
  </si>
  <si>
    <t>https://admin.scape.mx/appointment/uSz0k9wWsk</t>
  </si>
  <si>
    <t>4BePcXFwV4</t>
  </si>
  <si>
    <t>2026-07-10</t>
  </si>
  <si>
    <t>Bo6XWn3CeB</t>
  </si>
  <si>
    <t>vJ2VPCGUwR</t>
  </si>
  <si>
    <t>Manuela Pérez Danús</t>
  </si>
  <si>
    <t>https://admin.scape.mx/appointment/4BePcXFwV4</t>
  </si>
  <si>
    <t>36GqosOOeh</t>
  </si>
  <si>
    <t>Nombre huésped: jonathan saliba
Número de habitación:607</t>
  </si>
  <si>
    <t>https://admin.scape.mx/appointment/36GqosOOeh</t>
  </si>
  <si>
    <t>dHtEEFzJbT</t>
  </si>
  <si>
    <t>BUK2026</t>
  </si>
  <si>
    <t>RZpWSBL7sP</t>
  </si>
  <si>
    <t>Isabel Valenzuela</t>
  </si>
  <si>
    <t>https://admin.scape.mx/appointment/dHtEEFzJbT</t>
  </si>
  <si>
    <t>Z9K5Kn83x4</t>
  </si>
  <si>
    <t>Huésped: Emma Curnow. Hab: 406. Solicita: Danilo.</t>
  </si>
  <si>
    <t>https://admin.scape.mx/appointment/Z9K5Kn83x4</t>
  </si>
  <si>
    <t>CMdVLrIndo</t>
  </si>
  <si>
    <t>ohGwHx9tn6</t>
  </si>
  <si>
    <t>Josefina Novoa</t>
  </si>
  <si>
    <t>https://admin.scape.mx/appointment/CMdVLrIndo</t>
  </si>
  <si>
    <t>YHGNM81wjL</t>
  </si>
  <si>
    <t>sSQKUIOTtM</t>
  </si>
  <si>
    <t>Daniela Pliego</t>
  </si>
  <si>
    <t>https://admin.scape.mx/appointment/YHGNM81wjL</t>
  </si>
  <si>
    <t>LDTpydLOFi</t>
  </si>
  <si>
    <t>EPJuAZeOOf</t>
  </si>
  <si>
    <t>Belen Said</t>
  </si>
  <si>
    <t>https://admin.scape.mx/appointment/LDTpydLOFi</t>
  </si>
  <si>
    <t>tbaIoxKRgt</t>
  </si>
  <si>
    <t>Huésped: Claudio Catano. Hab: 1318. Solicita: Cindy Lee.</t>
  </si>
  <si>
    <t>https://admin.scape.mx/appointment/tbaIoxKRgt</t>
  </si>
  <si>
    <t>vFVG1Q8f6Q</t>
  </si>
  <si>
    <t>UE9VVS6w2E</t>
  </si>
  <si>
    <t>Macarena Zech Soto</t>
  </si>
  <si>
    <t>https://admin.scape.mx/appointment/vFVG1Q8f6Q</t>
  </si>
  <si>
    <t>HivR8PUPaG</t>
  </si>
  <si>
    <t>2026-07-11</t>
  </si>
  <si>
    <t>Huésped: Margarita Hamwee. Hab: 302.</t>
  </si>
  <si>
    <t>https://admin.scape.mx/appointment/HivR8PUPaG</t>
  </si>
  <si>
    <t>kljGFJJFFC</t>
  </si>
  <si>
    <t>nXcxdXXbOp</t>
  </si>
  <si>
    <t>Loreto Epelde-Aguirre</t>
  </si>
  <si>
    <t>https://admin.scape.mx/appointment/kljGFJJFFC</t>
  </si>
  <si>
    <t>LP9Ka8QI8b</t>
  </si>
  <si>
    <t>Huésped: Bolivar Bilhalva. Hab: 1008. Solicita: Adeleyn Arancibia</t>
  </si>
  <si>
    <t>https://admin.scape.mx/appointment/LP9Ka8QI8b</t>
  </si>
  <si>
    <t>3gY3FASMtX</t>
  </si>
  <si>
    <t>Huésped: Esteban González. Hab: 1504.</t>
  </si>
  <si>
    <t>https://admin.scape.mx/appointment/3gY3FASMtX</t>
  </si>
  <si>
    <t>EmCfNpZZ5A</t>
  </si>
  <si>
    <t>Q0dFdsHSUX</t>
  </si>
  <si>
    <t>Vale Zenteno</t>
  </si>
  <si>
    <t>https://admin.scape.mx/appointment/EmCfNpZZ5A</t>
  </si>
  <si>
    <t>QkPEJWSliB</t>
  </si>
  <si>
    <t>5IZpN3i2ky</t>
  </si>
  <si>
    <t>José Osorio</t>
  </si>
  <si>
    <t>https://admin.scape.mx/appointment/QkPEJWSliB</t>
  </si>
  <si>
    <t>6FTYtJD1f8</t>
  </si>
  <si>
    <t>https://admin.scape.mx/appointment/6FTYtJD1f8</t>
  </si>
  <si>
    <t>i4CKJB7Ff5</t>
  </si>
  <si>
    <t>https://admin.scape.mx/appointment/i4CKJB7Ff5</t>
  </si>
  <si>
    <t>a5HcXFvkq9</t>
  </si>
  <si>
    <t>2026-07-12</t>
  </si>
  <si>
    <t>08:30</t>
  </si>
  <si>
    <t>Huésped: Lilian Da Silva Toledo. Hab: 1807.</t>
  </si>
  <si>
    <t>https://admin.scape.mx/appointment/a5HcXFvkq9</t>
  </si>
  <si>
    <t>Usiht8Me93</t>
  </si>
  <si>
    <t>09:30</t>
  </si>
  <si>
    <t>Huésped: Lucas McDonell. Hab: 710. Solicita: Leandra Yáñez.</t>
  </si>
  <si>
    <t>https://admin.scape.mx/appointment/Usiht8Me93</t>
  </si>
  <si>
    <t>HOGaEN3F5f</t>
  </si>
  <si>
    <t>Huésped: Marcela Rivero. Hab: 404. Solicita: Valentina.</t>
  </si>
  <si>
    <t>https://admin.scape.mx/appointment/HOGaEN3F5f</t>
  </si>
  <si>
    <t>1bLUHY4XLn</t>
  </si>
  <si>
    <t>Huésped: Acompañante Rocío Diaz. Hab: 606. Solicita: Leandra Yáñez.</t>
  </si>
  <si>
    <t>https://admin.scape.mx/appointment/1bLUHY4XLn</t>
  </si>
  <si>
    <t>UQOi4AvhkG</t>
  </si>
  <si>
    <t>https://admin.scape.mx/appointment/UQOi4AvhkG</t>
  </si>
  <si>
    <t>RE7GDHWz6W</t>
  </si>
  <si>
    <t>Limpieza profunda</t>
  </si>
  <si>
    <t>iSpPHBVgQC</t>
  </si>
  <si>
    <t>Isabel Raveau Hubner</t>
  </si>
  <si>
    <t>https://admin.scape.mx/appointment/RE7GDHWz6W</t>
  </si>
  <si>
    <t>8C860vOr1A</t>
  </si>
  <si>
    <t>Hab: 204. Huésped: Ignacio Toro &amp; María Catalina Fernández.</t>
  </si>
  <si>
    <t>https://admin.scape.mx/appointment/8C860vOr1A</t>
  </si>
  <si>
    <t>oWqCDZOTmn</t>
  </si>
  <si>
    <t>https://admin.scape.mx/appointment/oWqCDZOTmn</t>
  </si>
  <si>
    <t>6jwHc734rJ</t>
  </si>
  <si>
    <t>C1ryPoNMRN</t>
  </si>
  <si>
    <t>Jorge Lolas Millard</t>
  </si>
  <si>
    <t>https://admin.scape.mx/appointment/6jwHc734rJ</t>
  </si>
  <si>
    <t>z09DRhkvxi</t>
  </si>
  <si>
    <t>https://admin.scape.mx/appointment/z09DRhkvxi</t>
  </si>
  <si>
    <t>zknLjdFLLH</t>
  </si>
  <si>
    <t>ZJw86qhbFX</t>
  </si>
  <si>
    <t>Bernardita Bravo</t>
  </si>
  <si>
    <t>https://admin.scape.mx/appointment/zknLjdFLLH</t>
  </si>
  <si>
    <t>fZ3YVHUfxh</t>
  </si>
  <si>
    <t>JwXveCvI1C</t>
  </si>
  <si>
    <t>Andres Valenzuela Suarez</t>
  </si>
  <si>
    <t>https://admin.scape.mx/appointment/fZ3YVHUfxh</t>
  </si>
  <si>
    <t>zFij25jooZ</t>
  </si>
  <si>
    <t>acgt9RLHEz</t>
  </si>
  <si>
    <t>Francisca Gerstle</t>
  </si>
  <si>
    <t>https://admin.scape.mx/appointment/zFij25jooZ</t>
  </si>
  <si>
    <t>fgPcbhXou5</t>
  </si>
  <si>
    <t>2026-07-13</t>
  </si>
  <si>
    <t>2nYnXRClHG</t>
  </si>
  <si>
    <t>Antonia Muñoz</t>
  </si>
  <si>
    <t>https://admin.scape.mx/appointment/fgPcbhXou5</t>
  </si>
  <si>
    <t>qSJexfPlB2</t>
  </si>
  <si>
    <t>DRo1DwofG7</t>
  </si>
  <si>
    <t>Javier Lizama Muga</t>
  </si>
  <si>
    <t>https://admin.scape.mx/appointment/qSJexfPlB2</t>
  </si>
  <si>
    <t>VdKdnadJ9o</t>
  </si>
  <si>
    <t>Lt27As0bR1</t>
  </si>
  <si>
    <t>Isidora Farias</t>
  </si>
  <si>
    <t>La terapeuta muy amorosa, pero no considere que hacía buenos masajes. No volvería a contratar el servicio</t>
  </si>
  <si>
    <t>https://admin.scape.mx/appointment/VdKdnadJ9o</t>
  </si>
  <si>
    <t>cRohk4Cjbd</t>
  </si>
  <si>
    <t>Huésped: Claudio Catano. Hab: 1318. Solicita: Crystal Aguilar.</t>
  </si>
  <si>
    <t>https://admin.scape.mx/appointment/cRohk4Cjbd</t>
  </si>
  <si>
    <t>qDZDXmCUjJ</t>
  </si>
  <si>
    <t>DSFMHzMuMj</t>
  </si>
  <si>
    <t>Juan Carlos Alvarez Dominguez</t>
  </si>
  <si>
    <t>https://admin.scape.mx/appointment/qDZDXmCUjJ</t>
  </si>
  <si>
    <t>VWDix9i8AW</t>
  </si>
  <si>
    <t>2026-07-14</t>
  </si>
  <si>
    <t>961Ub4lCkd</t>
  </si>
  <si>
    <t>Romina Otipka</t>
  </si>
  <si>
    <t>Código Bigbox: KU57S96R</t>
  </si>
  <si>
    <t>https://admin.scape.mx/appointment/VWDix9i8AW</t>
  </si>
  <si>
    <t>RGzB0FemFn</t>
  </si>
  <si>
    <t>SOYTE10</t>
  </si>
  <si>
    <t>Mq75lucKyi</t>
  </si>
  <si>
    <t>Javiera</t>
  </si>
  <si>
    <t>https://admin.scape.mx/appointment/RGzB0FemFn</t>
  </si>
  <si>
    <t>lDVk6zlLnD</t>
  </si>
  <si>
    <t>xiyNqHACeK</t>
  </si>
  <si>
    <t>Daniela Urzúa Trigo</t>
  </si>
  <si>
    <t>https://admin.scape.mx/appointment/lDVk6zlLnD</t>
  </si>
  <si>
    <t>IxocrCmXf0</t>
  </si>
  <si>
    <t>cLaVnX8ozR</t>
  </si>
  <si>
    <t>Anisha Lakhati</t>
  </si>
  <si>
    <t>https://admin.scape.mx/appointment/IxocrCmXf0</t>
  </si>
  <si>
    <t>EilrvvaUdb</t>
  </si>
  <si>
    <t>zqx6GU2Yig</t>
  </si>
  <si>
    <t>45 by Director</t>
  </si>
  <si>
    <t>huésped: Paulo Luviseti. Hab: 804. Solicita: Cinthia.</t>
  </si>
  <si>
    <t>https://admin.scape.mx/appointment/EilrvvaUdb</t>
  </si>
  <si>
    <t>Ba7j5Oow9l</t>
  </si>
  <si>
    <t>hIMMpJZtEW</t>
  </si>
  <si>
    <t>Catalina Bragado Sanchez</t>
  </si>
  <si>
    <t>https://admin.scape.mx/appointment/Ba7j5Oow9l</t>
  </si>
  <si>
    <t>A0GwcwlIyO</t>
  </si>
  <si>
    <t>D0rbHV6AUZ</t>
  </si>
  <si>
    <t>Mariajose Valdes</t>
  </si>
  <si>
    <t>https://admin.scape.mx/appointment/A0GwcwlIyO</t>
  </si>
  <si>
    <t>9q0A8LxBSZ</t>
  </si>
  <si>
    <t>zFhhw0mYr1</t>
  </si>
  <si>
    <t>Rodrigo Núñez Grahmann</t>
  </si>
  <si>
    <t>https://admin.scape.mx/appointment/9q0A8LxBSZ</t>
  </si>
  <si>
    <t>2DTmgTUPWR</t>
  </si>
  <si>
    <t>2026-07-15</t>
  </si>
  <si>
    <t>er5sRZHkNQ</t>
  </si>
  <si>
    <t>Araceli  Gongora</t>
  </si>
  <si>
    <t>https://admin.scape.mx/appointment/2DTmgTUPWR</t>
  </si>
  <si>
    <t>YSUAq2ESjr</t>
  </si>
  <si>
    <t>tpFOiBzaQy</t>
  </si>
  <si>
    <t>Valentina Poza</t>
  </si>
  <si>
    <t>https://admin.scape.mx/appointment/YSUAq2ESjr</t>
  </si>
  <si>
    <t>cAuVYBzQUA</t>
  </si>
  <si>
    <t>YM6XjWj1TG</t>
  </si>
  <si>
    <t>José Madariaga Saumann</t>
  </si>
  <si>
    <t>mCGg1MpYeB</t>
  </si>
  <si>
    <t>Código Bigbox: 4MDYEHFZ.</t>
  </si>
  <si>
    <t>https://admin.scape.mx/appointment/cAuVYBzQUA</t>
  </si>
  <si>
    <t>KcnLqJ3RgF</t>
  </si>
  <si>
    <t>Huésped: Gaizka Mendikoetchea. Hab: 611. Solicita: Alonso.</t>
  </si>
  <si>
    <t>https://admin.scape.mx/appointment/KcnLqJ3RgF</t>
  </si>
  <si>
    <t>ZKtasKqKVc</t>
  </si>
  <si>
    <t>FvdTKcmqvz</t>
  </si>
  <si>
    <t>Constanza Hissi</t>
  </si>
  <si>
    <t>https://admin.scape.mx/appointment/ZKtasKqKVc</t>
  </si>
  <si>
    <t>1v6SvD6pYQ</t>
  </si>
  <si>
    <t>LrGGF0La2y</t>
  </si>
  <si>
    <t>Francisca Alamos</t>
  </si>
  <si>
    <t>https://admin.scape.mx/appointment/1v6SvD6pYQ</t>
  </si>
  <si>
    <t>6HH1MjcYSZ</t>
  </si>
  <si>
    <t>Ij3ZmHaD69</t>
  </si>
  <si>
    <t>Romina Crisosto</t>
  </si>
  <si>
    <t>https://admin.scape.mx/appointment/6HH1MjcYSZ</t>
  </si>
  <si>
    <t>TECHSPERT</t>
  </si>
  <si>
    <t>HATCH</t>
  </si>
  <si>
    <t>Aubrey</t>
  </si>
  <si>
    <t>Error de agendamiento</t>
  </si>
  <si>
    <t>Se agendó servicio para día anterior al solicitado.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</si>
</sst>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164" formatCode="\$#,##0.00;\ \(\$#,##0.00\);\ \-"/>
    <numFmt numFmtId="165" formatCode="d/m/yyyy"/>
    <numFmt numFmtId="166" formatCode="&quot;$&quot;#,##0"/>
    <numFmt numFmtId="167" formatCode="[$-F400]h:mm:ss\ AM/PM"/>
    <numFmt numFmtId="168" formatCode="_ &quot;$&quot;* #,##0.000000000_ ;_ &quot;$&quot;* \-#,##0.000000000_ ;_ &quot;$&quot;* &quot;-&quot;_ ;_ @_ "/>
  </numFmts>
  <fonts count="2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</font>
    <font>
      <u/>
      <sz val="11"/>
      <color theme="10"/>
      <name val="Aptos Narrow"/>
      <family val="2"/>
    </font>
    <font>
      <sz val="11"/>
      <color rgb="FF000000"/>
      <name val="Calibri"/>
      <family val="1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rgb="FF0000FF"/>
      <name val="Calibri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DCEBF7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42" fontId="17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61">
    <xf numFmtId="0" fontId="0" fillId="0" borderId="0" xfId="0"/>
    <xf numFmtId="41" fontId="8" fillId="0" borderId="0" xfId="0" applyNumberFormat="1" applyFont="1"/>
    <xf numFmtId="42" fontId="8" fillId="0" borderId="0" xfId="0" applyNumberFormat="1" applyFont="1"/>
    <xf numFmtId="0" fontId="9" fillId="0" borderId="0" xfId="0" applyFont="1"/>
    <xf numFmtId="0" fontId="11" fillId="0" borderId="0" xfId="0" applyFont="1"/>
    <xf numFmtId="41" fontId="11" fillId="0" borderId="0" xfId="0" applyNumberFormat="1" applyFont="1"/>
    <xf numFmtId="0" fontId="12" fillId="0" borderId="0" xfId="0" applyFont="1"/>
    <xf numFmtId="166" fontId="11" fillId="0" borderId="0" xfId="0" applyNumberFormat="1" applyFont="1"/>
    <xf numFmtId="0" fontId="12" fillId="2" borderId="1" xfId="0" applyFont="1" applyFill="1" applyBorder="1"/>
    <xf numFmtId="0" fontId="12" fillId="3" borderId="1" xfId="0" applyFont="1" applyFill="1" applyBorder="1"/>
    <xf numFmtId="0" fontId="11" fillId="4" borderId="1" xfId="0" applyFont="1" applyFill="1" applyBorder="1"/>
    <xf numFmtId="41" fontId="11" fillId="4" borderId="1" xfId="0" applyNumberFormat="1" applyFont="1" applyFill="1" applyBorder="1"/>
    <xf numFmtId="0" fontId="10" fillId="2" borderId="1" xfId="0" applyFont="1" applyFill="1" applyBorder="1"/>
    <xf numFmtId="0" fontId="10" fillId="3" borderId="1" xfId="0" applyFont="1" applyFill="1" applyBorder="1"/>
    <xf numFmtId="0" fontId="8" fillId="4" borderId="1" xfId="0" applyFont="1" applyFill="1" applyBorder="1"/>
    <xf numFmtId="41" fontId="8" fillId="4" borderId="1" xfId="0" applyNumberFormat="1" applyFont="1" applyFill="1" applyBorder="1"/>
    <xf numFmtId="0" fontId="8" fillId="5" borderId="1" xfId="0" applyFont="1" applyFill="1" applyBorder="1"/>
    <xf numFmtId="165" fontId="8" fillId="5" borderId="1" xfId="0" applyNumberFormat="1" applyFont="1" applyFill="1" applyBorder="1"/>
    <xf numFmtId="20" fontId="8" fillId="5" borderId="1" xfId="0" applyNumberFormat="1" applyFont="1" applyFill="1" applyBorder="1"/>
    <xf numFmtId="42" fontId="8" fillId="5" borderId="1" xfId="0" applyNumberFormat="1" applyFont="1" applyFill="1" applyBorder="1"/>
    <xf numFmtId="0" fontId="13" fillId="5" borderId="1" xfId="0" applyFont="1" applyFill="1" applyBorder="1"/>
    <xf numFmtId="165" fontId="8" fillId="0" borderId="0" xfId="0" applyNumberFormat="1" applyFont="1"/>
    <xf numFmtId="20" fontId="8" fillId="0" borderId="0" xfId="0" applyNumberFormat="1" applyFont="1"/>
    <xf numFmtId="0" fontId="14" fillId="0" borderId="0" xfId="0" applyFont="1"/>
    <xf numFmtId="3" fontId="8" fillId="0" borderId="0" xfId="0" applyNumberFormat="1" applyFont="1"/>
    <xf numFmtId="0" fontId="0" fillId="0" borderId="2" xfId="0" applyBorder="1"/>
    <xf numFmtId="42" fontId="0" fillId="0" borderId="0" xfId="2" applyFont="1"/>
    <xf numFmtId="0" fontId="7" fillId="0" borderId="2" xfId="0" applyFont="1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1" fontId="0" fillId="0" borderId="0" xfId="0" applyNumberFormat="1"/>
    <xf numFmtId="0" fontId="11" fillId="11" borderId="0" xfId="0" applyFont="1" applyFill="1"/>
    <xf numFmtId="9" fontId="11" fillId="0" borderId="0" xfId="1" applyFont="1"/>
    <xf numFmtId="0" fontId="7" fillId="0" borderId="0" xfId="0" applyFont="1"/>
    <xf numFmtId="0" fontId="16" fillId="12" borderId="2" xfId="0" applyFont="1" applyFill="1" applyBorder="1" applyAlignment="1">
      <alignment horizontal="center"/>
    </xf>
    <xf numFmtId="0" fontId="6" fillId="0" borderId="0" xfId="0" applyFont="1"/>
    <xf numFmtId="0" fontId="16" fillId="1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2" xfId="0" applyFont="1" applyBorder="1"/>
    <xf numFmtId="0" fontId="6" fillId="0" borderId="2" xfId="0" applyFont="1" applyBorder="1"/>
    <xf numFmtId="0" fontId="18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14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left" wrapText="1"/>
    </xf>
    <xf numFmtId="0" fontId="12" fillId="9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2" xfId="0" applyFont="1" applyBorder="1"/>
    <xf numFmtId="0" fontId="12" fillId="17" borderId="2" xfId="0" applyFont="1" applyFill="1" applyBorder="1" applyAlignment="1">
      <alignment horizontal="center"/>
    </xf>
    <xf numFmtId="0" fontId="19" fillId="17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2" fillId="0" borderId="1" xfId="0" applyFont="1" applyBorder="1"/>
    <xf numFmtId="0" fontId="20" fillId="0" borderId="1" xfId="0" applyFont="1" applyBorder="1"/>
    <xf numFmtId="41" fontId="11" fillId="4" borderId="1" xfId="0" applyNumberFormat="1" applyFont="1" applyFill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42" fontId="11" fillId="0" borderId="2" xfId="2" applyFont="1" applyBorder="1" applyAlignment="1">
      <alignment horizontal="center"/>
    </xf>
    <xf numFmtId="42" fontId="0" fillId="0" borderId="2" xfId="2" applyFont="1" applyBorder="1" applyAlignment="1">
      <alignment horizontal="center"/>
    </xf>
    <xf numFmtId="167" fontId="0" fillId="0" borderId="2" xfId="0" applyNumberFormat="1" applyBorder="1"/>
    <xf numFmtId="0" fontId="0" fillId="0" borderId="1" xfId="0" applyBorder="1"/>
    <xf numFmtId="14" fontId="11" fillId="0" borderId="2" xfId="0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42" fontId="0" fillId="0" borderId="2" xfId="2" applyFont="1" applyFill="1" applyBorder="1"/>
    <xf numFmtId="42" fontId="11" fillId="0" borderId="2" xfId="2" applyFont="1" applyBorder="1"/>
    <xf numFmtId="42" fontId="0" fillId="0" borderId="2" xfId="2" applyFont="1" applyBorder="1"/>
    <xf numFmtId="0" fontId="19" fillId="10" borderId="8" xfId="0" applyFont="1" applyFill="1" applyBorder="1" applyAlignment="1">
      <alignment horizontal="center"/>
    </xf>
    <xf numFmtId="0" fontId="19" fillId="15" borderId="5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42" fontId="0" fillId="0" borderId="3" xfId="2" applyFont="1" applyBorder="1"/>
    <xf numFmtId="0" fontId="9" fillId="0" borderId="2" xfId="0" applyFont="1" applyBorder="1"/>
    <xf numFmtId="42" fontId="19" fillId="16" borderId="0" xfId="2" applyFont="1" applyFill="1"/>
    <xf numFmtId="0" fontId="19" fillId="0" borderId="0" xfId="0" applyFont="1" applyAlignment="1">
      <alignment horizontal="center" vertical="center"/>
    </xf>
    <xf numFmtId="42" fontId="0" fillId="0" borderId="3" xfId="0" applyNumberFormat="1" applyBorder="1"/>
    <xf numFmtId="0" fontId="11" fillId="18" borderId="0" xfId="0" applyFont="1" applyFill="1"/>
    <xf numFmtId="0" fontId="12" fillId="17" borderId="2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2" fontId="19" fillId="10" borderId="7" xfId="2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42" fontId="0" fillId="13" borderId="3" xfId="0" applyNumberFormat="1" applyFill="1" applyBorder="1" applyAlignment="1">
      <alignment horizontal="center"/>
    </xf>
    <xf numFmtId="0" fontId="16" fillId="12" borderId="9" xfId="0" applyFont="1" applyFill="1" applyBorder="1" applyAlignment="1">
      <alignment horizontal="center" vertical="center" wrapText="1"/>
    </xf>
    <xf numFmtId="42" fontId="16" fillId="14" borderId="9" xfId="2" applyFont="1" applyFill="1" applyBorder="1" applyAlignment="1">
      <alignment horizontal="center" vertical="center" wrapText="1"/>
    </xf>
    <xf numFmtId="42" fontId="16" fillId="13" borderId="9" xfId="2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 wrapText="1"/>
    </xf>
    <xf numFmtId="0" fontId="16" fillId="16" borderId="9" xfId="0" applyFont="1" applyFill="1" applyBorder="1" applyAlignment="1">
      <alignment horizontal="center" vertical="center" wrapText="1"/>
    </xf>
    <xf numFmtId="0" fontId="21" fillId="19" borderId="9" xfId="0" applyFont="1" applyFill="1" applyBorder="1" applyAlignment="1">
      <alignment horizontal="center" vertical="center" wrapText="1"/>
    </xf>
    <xf numFmtId="42" fontId="5" fillId="0" borderId="0" xfId="2" applyFont="1"/>
    <xf numFmtId="9" fontId="0" fillId="0" borderId="0" xfId="1" applyFont="1" applyAlignment="1">
      <alignment horizontal="center"/>
    </xf>
    <xf numFmtId="9" fontId="19" fillId="16" borderId="9" xfId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42" fontId="0" fillId="0" borderId="0" xfId="2" applyFont="1" applyAlignment="1">
      <alignment horizontal="center"/>
    </xf>
    <xf numFmtId="42" fontId="16" fillId="16" borderId="9" xfId="2" applyFont="1" applyFill="1" applyBorder="1" applyAlignment="1">
      <alignment horizontal="center" vertical="center" wrapText="1"/>
    </xf>
    <xf numFmtId="42" fontId="0" fillId="0" borderId="3" xfId="2" applyFont="1" applyBorder="1" applyAlignment="1">
      <alignment horizontal="center"/>
    </xf>
    <xf numFmtId="0" fontId="19" fillId="9" borderId="2" xfId="0" applyFont="1" applyFill="1" applyBorder="1"/>
    <xf numFmtId="42" fontId="16" fillId="20" borderId="9" xfId="2" applyFont="1" applyFill="1" applyBorder="1" applyAlignment="1">
      <alignment horizontal="center" vertical="center" wrapText="1"/>
    </xf>
    <xf numFmtId="6" fontId="0" fillId="0" borderId="0" xfId="0" applyNumberFormat="1"/>
    <xf numFmtId="14" fontId="0" fillId="0" borderId="2" xfId="0" applyNumberFormat="1" applyBorder="1" applyAlignment="1">
      <alignment horizontal="left"/>
    </xf>
    <xf numFmtId="0" fontId="0" fillId="21" borderId="2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16" fillId="12" borderId="2" xfId="0" applyNumberFormat="1" applyFont="1" applyFill="1" applyBorder="1" applyAlignment="1">
      <alignment horizontal="center"/>
    </xf>
    <xf numFmtId="0" fontId="16" fillId="22" borderId="2" xfId="0" applyFont="1" applyFill="1" applyBorder="1" applyAlignment="1">
      <alignment horizontal="center"/>
    </xf>
    <xf numFmtId="168" fontId="0" fillId="0" borderId="0" xfId="2" applyNumberFormat="1" applyFont="1"/>
    <xf numFmtId="42" fontId="0" fillId="9" borderId="2" xfId="2" applyFont="1" applyFill="1" applyBorder="1"/>
    <xf numFmtId="42" fontId="0" fillId="21" borderId="0" xfId="2" applyFont="1" applyFill="1"/>
    <xf numFmtId="0" fontId="4" fillId="21" borderId="0" xfId="0" applyFont="1" applyFill="1" applyAlignment="1">
      <alignment horizontal="center"/>
    </xf>
    <xf numFmtId="42" fontId="19" fillId="9" borderId="0" xfId="2" applyFont="1" applyFill="1"/>
    <xf numFmtId="42" fontId="0" fillId="21" borderId="0" xfId="0" applyNumberFormat="1" applyFill="1"/>
    <xf numFmtId="42" fontId="4" fillId="21" borderId="0" xfId="2" applyFont="1" applyFill="1"/>
    <xf numFmtId="9" fontId="0" fillId="0" borderId="2" xfId="1" applyFont="1" applyBorder="1"/>
    <xf numFmtId="9" fontId="19" fillId="16" borderId="0" xfId="1" applyFont="1" applyFill="1"/>
    <xf numFmtId="0" fontId="15" fillId="6" borderId="0" xfId="0" applyFont="1" applyFill="1"/>
    <xf numFmtId="0" fontId="3" fillId="0" borderId="2" xfId="0" applyFont="1" applyBorder="1"/>
    <xf numFmtId="41" fontId="10" fillId="0" borderId="1" xfId="0" applyNumberFormat="1" applyFont="1" applyBorder="1"/>
    <xf numFmtId="42" fontId="19" fillId="23" borderId="11" xfId="2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2" fillId="0" borderId="2" xfId="0" applyFont="1" applyBorder="1"/>
    <xf numFmtId="42" fontId="16" fillId="14" borderId="9" xfId="2" applyFont="1" applyFill="1" applyBorder="1" applyAlignment="1">
      <alignment horizontal="center" wrapText="1"/>
    </xf>
    <xf numFmtId="0" fontId="1" fillId="0" borderId="2" xfId="0" applyFont="1" applyBorder="1"/>
    <xf numFmtId="0" fontId="4" fillId="0" borderId="2" xfId="0" applyFont="1" applyBorder="1"/>
    <xf numFmtId="0" fontId="15" fillId="0" borderId="2" xfId="0" applyFont="1" applyBorder="1"/>
    <xf numFmtId="0" fontId="1" fillId="0" borderId="2" xfId="0" applyFont="1" applyBorder="1" applyAlignment="1">
      <alignment horizontal="left"/>
    </xf>
    <xf numFmtId="9" fontId="0" fillId="0" borderId="0" xfId="1" applyFont="1"/>
    <xf numFmtId="42" fontId="0" fillId="0" borderId="0" xfId="0" applyNumberFormat="1"/>
    <xf numFmtId="164" fontId="15" fillId="6" borderId="0" xfId="0" applyNumberFormat="1" applyFont="1" applyFill="1"/>
    <xf numFmtId="0" fontId="23" fillId="6" borderId="0" xfId="0" applyFont="1" applyFill="1"/>
    <xf numFmtId="0" fontId="15" fillId="7" borderId="0" xfId="0" applyFont="1" applyFill="1"/>
    <xf numFmtId="164" fontId="15" fillId="7" borderId="0" xfId="0" applyNumberFormat="1" applyFont="1" applyFill="1"/>
    <xf numFmtId="0" fontId="23" fillId="7" borderId="0" xfId="0" applyFont="1" applyFill="1"/>
    <xf numFmtId="0" fontId="15" fillId="8" borderId="0" xfId="0" applyFont="1" applyFill="1"/>
    <xf numFmtId="164" fontId="15" fillId="8" borderId="0" xfId="0" applyNumberFormat="1" applyFont="1" applyFill="1"/>
    <xf numFmtId="0" fontId="23" fillId="8" borderId="0" xfId="0" applyFont="1" applyFill="1"/>
    <xf numFmtId="0" fontId="15" fillId="6" borderId="2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left"/>
    </xf>
    <xf numFmtId="20" fontId="6" fillId="0" borderId="2" xfId="0" applyNumberFormat="1" applyFont="1" applyBorder="1" applyAlignment="1">
      <alignment horizontal="center"/>
    </xf>
    <xf numFmtId="0" fontId="15" fillId="24" borderId="0" xfId="0" applyFont="1" applyFill="1"/>
    <xf numFmtId="164" fontId="15" fillId="24" borderId="0" xfId="0" applyNumberFormat="1" applyFont="1" applyFill="1"/>
    <xf numFmtId="0" fontId="23" fillId="24" borderId="0" xfId="0" applyFont="1" applyFill="1"/>
    <xf numFmtId="41" fontId="0" fillId="21" borderId="0" xfId="3" applyFont="1" applyFill="1" applyAlignment="1">
      <alignment horizontal="left"/>
    </xf>
    <xf numFmtId="6" fontId="6" fillId="0" borderId="2" xfId="2" applyNumberFormat="1" applyFont="1" applyBorder="1" applyAlignment="1">
      <alignment horizontal="center" wrapText="1"/>
    </xf>
    <xf numFmtId="6" fontId="0" fillId="0" borderId="2" xfId="2" applyNumberFormat="1" applyFont="1" applyBorder="1" applyAlignment="1">
      <alignment horizontal="left"/>
    </xf>
    <xf numFmtId="6" fontId="0" fillId="0" borderId="2" xfId="0" applyNumberForma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19" fillId="9" borderId="9" xfId="0" applyFont="1" applyFill="1" applyBorder="1" applyAlignment="1">
      <alignment horizontal="center" vertical="center" textRotation="90" wrapText="1"/>
    </xf>
    <xf numFmtId="0" fontId="19" fillId="9" borderId="3" xfId="0" applyFont="1" applyFill="1" applyBorder="1" applyAlignment="1">
      <alignment horizontal="center" vertical="center" textRotation="90" wrapText="1"/>
    </xf>
    <xf numFmtId="0" fontId="19" fillId="9" borderId="10" xfId="0" applyFont="1" applyFill="1" applyBorder="1" applyAlignment="1">
      <alignment horizontal="center" vertical="center" textRotation="90" wrapText="1"/>
    </xf>
    <xf numFmtId="0" fontId="19" fillId="0" borderId="1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9" borderId="0" xfId="0" applyFont="1" applyFill="1" applyAlignment="1">
      <alignment horizontal="center"/>
    </xf>
  </cellXfs>
  <cellStyles count="4">
    <cellStyle name="Millares [0]" xfId="3" builtinId="6"/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eetMetadata" Target="metadata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1859280</xdr:colOff>
      <xdr:row>2</xdr:row>
      <xdr:rowOff>53340</xdr:rowOff>
    </xdr:from>
    <xdr:to>
      <xdr:col>2</xdr:col>
      <xdr:colOff>1859280</xdr:colOff>
      <xdr:row>3</xdr:row>
      <xdr:rowOff>83820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BF36241-0637-E946-1BA7-9D1FAC433996}"/>
            </a:ext>
          </a:extLst>
        </xdr:cNvPr>
        <xdr:cNvCxnSpPr/>
      </xdr:nvCxnSpPr>
      <xdr:spPr>
        <a:xfrm>
          <a:off x="3177540" y="419100"/>
          <a:ext cx="0" cy="20574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admin.scape.mx/appointment/EmCfNpZZ5A" TargetMode="External"/><Relationship Id="rId21" Type="http://schemas.openxmlformats.org/officeDocument/2006/relationships/hyperlink" Target="https://admin.scape.mx/appointment/cXSA6nSHl9" TargetMode="External"/><Relationship Id="rId42" Type="http://schemas.openxmlformats.org/officeDocument/2006/relationships/hyperlink" Target="https://admin.scape.mx/appointment/DA49CCE7eY" TargetMode="External"/><Relationship Id="rId63" Type="http://schemas.openxmlformats.org/officeDocument/2006/relationships/hyperlink" Target="https://admin.scape.mx/appointment/403utqoTwQ" TargetMode="External"/><Relationship Id="rId84" Type="http://schemas.openxmlformats.org/officeDocument/2006/relationships/hyperlink" Target="https://admin.scape.mx/appointment/oDK8WaQdmR" TargetMode="External"/><Relationship Id="rId138" Type="http://schemas.openxmlformats.org/officeDocument/2006/relationships/hyperlink" Target="https://admin.scape.mx/appointment/UQOi4AvhkG" TargetMode="External"/><Relationship Id="rId159" Type="http://schemas.openxmlformats.org/officeDocument/2006/relationships/hyperlink" Target="https://admin.scape.mx/appointment/fZ3YVHUfxh" TargetMode="External"/><Relationship Id="rId170" Type="http://schemas.openxmlformats.org/officeDocument/2006/relationships/hyperlink" Target="https://admin.scape.mx/appointment/VdKdnadJ9o" TargetMode="External"/><Relationship Id="rId191" Type="http://schemas.openxmlformats.org/officeDocument/2006/relationships/hyperlink" Target="https://admin.scape.mx/appointment/cAuVYBzQUA" TargetMode="External"/><Relationship Id="rId107" Type="http://schemas.openxmlformats.org/officeDocument/2006/relationships/hyperlink" Target="https://admin.scape.mx/appointment/HivR8PUPaG" TargetMode="External"/><Relationship Id="rId11" Type="http://schemas.openxmlformats.org/officeDocument/2006/relationships/hyperlink" Target="https://admin.scape.mx/appointment/OVvsoEIs4l" TargetMode="External"/><Relationship Id="rId32" Type="http://schemas.openxmlformats.org/officeDocument/2006/relationships/hyperlink" Target="https://admin.scape.mx/appointment/EHdpqUBPub" TargetMode="External"/><Relationship Id="rId53" Type="http://schemas.openxmlformats.org/officeDocument/2006/relationships/hyperlink" Target="https://admin.scape.mx/appointment/cpWnUpdqqG" TargetMode="External"/><Relationship Id="rId74" Type="http://schemas.openxmlformats.org/officeDocument/2006/relationships/hyperlink" Target="https://admin.scape.mx/appointment/G5NBCZMr3m" TargetMode="External"/><Relationship Id="rId128" Type="http://schemas.openxmlformats.org/officeDocument/2006/relationships/hyperlink" Target="https://admin.scape.mx/appointment/i4CKJB7Ff5" TargetMode="External"/><Relationship Id="rId149" Type="http://schemas.openxmlformats.org/officeDocument/2006/relationships/hyperlink" Target="https://admin.scape.mx/appointment/6jwHc734rJ" TargetMode="External"/><Relationship Id="rId5" Type="http://schemas.openxmlformats.org/officeDocument/2006/relationships/hyperlink" Target="https://admin.scape.mx/appointment/YiZcUqymqq" TargetMode="External"/><Relationship Id="rId95" Type="http://schemas.openxmlformats.org/officeDocument/2006/relationships/hyperlink" Target="https://admin.scape.mx/appointment/CMdVLrIndo" TargetMode="External"/><Relationship Id="rId160" Type="http://schemas.openxmlformats.org/officeDocument/2006/relationships/hyperlink" Target="https://admin.scape.mx/appointment/fZ3YVHUfxh" TargetMode="External"/><Relationship Id="rId181" Type="http://schemas.openxmlformats.org/officeDocument/2006/relationships/hyperlink" Target="https://admin.scape.mx/appointment/EilrvvaUdb" TargetMode="External"/><Relationship Id="rId22" Type="http://schemas.openxmlformats.org/officeDocument/2006/relationships/hyperlink" Target="https://admin.scape.mx/appointment/cXSA6nSHl9" TargetMode="External"/><Relationship Id="rId43" Type="http://schemas.openxmlformats.org/officeDocument/2006/relationships/hyperlink" Target="https://admin.scape.mx/appointment/JXIxrxpmXj" TargetMode="External"/><Relationship Id="rId64" Type="http://schemas.openxmlformats.org/officeDocument/2006/relationships/hyperlink" Target="https://admin.scape.mx/appointment/403utqoTwQ" TargetMode="External"/><Relationship Id="rId118" Type="http://schemas.openxmlformats.org/officeDocument/2006/relationships/hyperlink" Target="https://admin.scape.mx/appointment/EmCfNpZZ5A" TargetMode="External"/><Relationship Id="rId139" Type="http://schemas.openxmlformats.org/officeDocument/2006/relationships/hyperlink" Target="https://admin.scape.mx/appointment/UQOi4AvhkG" TargetMode="External"/><Relationship Id="rId85" Type="http://schemas.openxmlformats.org/officeDocument/2006/relationships/hyperlink" Target="https://admin.scape.mx/appointment/Ltwl503bgi" TargetMode="External"/><Relationship Id="rId150" Type="http://schemas.openxmlformats.org/officeDocument/2006/relationships/hyperlink" Target="https://admin.scape.mx/appointment/6jwHc734rJ" TargetMode="External"/><Relationship Id="rId171" Type="http://schemas.openxmlformats.org/officeDocument/2006/relationships/hyperlink" Target="https://admin.scape.mx/appointment/VdKdnadJ9o" TargetMode="External"/><Relationship Id="rId192" Type="http://schemas.openxmlformats.org/officeDocument/2006/relationships/hyperlink" Target="https://admin.scape.mx/appointment/KcnLqJ3RgF" TargetMode="External"/><Relationship Id="rId12" Type="http://schemas.openxmlformats.org/officeDocument/2006/relationships/hyperlink" Target="https://admin.scape.mx/appointment/OVvsoEIs4l" TargetMode="External"/><Relationship Id="rId33" Type="http://schemas.openxmlformats.org/officeDocument/2006/relationships/hyperlink" Target="https://admin.scape.mx/appointment/GwE96WbytL" TargetMode="External"/><Relationship Id="rId108" Type="http://schemas.openxmlformats.org/officeDocument/2006/relationships/hyperlink" Target="https://admin.scape.mx/appointment/kljGFJJFFC" TargetMode="External"/><Relationship Id="rId129" Type="http://schemas.openxmlformats.org/officeDocument/2006/relationships/hyperlink" Target="https://admin.scape.mx/appointment/i4CKJB7Ff5" TargetMode="External"/><Relationship Id="rId54" Type="http://schemas.openxmlformats.org/officeDocument/2006/relationships/hyperlink" Target="https://admin.scape.mx/appointment/Wa0dgh1dV2" TargetMode="External"/><Relationship Id="rId75" Type="http://schemas.openxmlformats.org/officeDocument/2006/relationships/hyperlink" Target="https://admin.scape.mx/appointment/Y7brrKvrBZ" TargetMode="External"/><Relationship Id="rId96" Type="http://schemas.openxmlformats.org/officeDocument/2006/relationships/hyperlink" Target="https://admin.scape.mx/appointment/YHGNM81wjL" TargetMode="External"/><Relationship Id="rId140" Type="http://schemas.openxmlformats.org/officeDocument/2006/relationships/hyperlink" Target="https://admin.scape.mx/appointment/UQOi4AvhkG" TargetMode="External"/><Relationship Id="rId161" Type="http://schemas.openxmlformats.org/officeDocument/2006/relationships/hyperlink" Target="https://admin.scape.mx/appointment/fZ3YVHUfxh" TargetMode="External"/><Relationship Id="rId182" Type="http://schemas.openxmlformats.org/officeDocument/2006/relationships/hyperlink" Target="https://admin.scape.mx/appointment/Ba7j5Oow9l" TargetMode="External"/><Relationship Id="rId6" Type="http://schemas.openxmlformats.org/officeDocument/2006/relationships/hyperlink" Target="https://admin.scape.mx/appointment/YiZcUqymqq" TargetMode="External"/><Relationship Id="rId23" Type="http://schemas.openxmlformats.org/officeDocument/2006/relationships/hyperlink" Target="https://admin.scape.mx/appointment/NmuDkPTrB2" TargetMode="External"/><Relationship Id="rId119" Type="http://schemas.openxmlformats.org/officeDocument/2006/relationships/hyperlink" Target="https://admin.scape.mx/appointment/EmCfNpZZ5A" TargetMode="External"/><Relationship Id="rId44" Type="http://schemas.openxmlformats.org/officeDocument/2006/relationships/hyperlink" Target="https://admin.scape.mx/appointment/JXIxrxpmXj" TargetMode="External"/><Relationship Id="rId65" Type="http://schemas.openxmlformats.org/officeDocument/2006/relationships/hyperlink" Target="https://admin.scape.mx/appointment/7hPNZ9C9bX" TargetMode="External"/><Relationship Id="rId86" Type="http://schemas.openxmlformats.org/officeDocument/2006/relationships/hyperlink" Target="https://admin.scape.mx/appointment/xYcNUbSpLF" TargetMode="External"/><Relationship Id="rId130" Type="http://schemas.openxmlformats.org/officeDocument/2006/relationships/hyperlink" Target="https://admin.scape.mx/appointment/a5HcXFvkq9" TargetMode="External"/><Relationship Id="rId151" Type="http://schemas.openxmlformats.org/officeDocument/2006/relationships/hyperlink" Target="https://admin.scape.mx/appointment/6jwHc734rJ" TargetMode="External"/><Relationship Id="rId172" Type="http://schemas.openxmlformats.org/officeDocument/2006/relationships/hyperlink" Target="https://admin.scape.mx/appointment/cRohk4Cjbd" TargetMode="External"/><Relationship Id="rId193" Type="http://schemas.openxmlformats.org/officeDocument/2006/relationships/hyperlink" Target="https://admin.scape.mx/appointment/ZKtasKqKVc" TargetMode="External"/><Relationship Id="rId13" Type="http://schemas.openxmlformats.org/officeDocument/2006/relationships/hyperlink" Target="https://admin.scape.mx/appointment/OVvsoEIs4l" TargetMode="External"/><Relationship Id="rId109" Type="http://schemas.openxmlformats.org/officeDocument/2006/relationships/hyperlink" Target="https://admin.scape.mx/appointment/kljGFJJFFC" TargetMode="External"/><Relationship Id="rId34" Type="http://schemas.openxmlformats.org/officeDocument/2006/relationships/hyperlink" Target="https://admin.scape.mx/appointment/GwE96WbytL" TargetMode="External"/><Relationship Id="rId55" Type="http://schemas.openxmlformats.org/officeDocument/2006/relationships/hyperlink" Target="https://admin.scape.mx/appointment/BP7Y3AcaKp" TargetMode="External"/><Relationship Id="rId76" Type="http://schemas.openxmlformats.org/officeDocument/2006/relationships/hyperlink" Target="https://admin.scape.mx/appointment/Y7brrKvrBZ" TargetMode="External"/><Relationship Id="rId97" Type="http://schemas.openxmlformats.org/officeDocument/2006/relationships/hyperlink" Target="https://admin.scape.mx/appointment/YHGNM81wjL" TargetMode="External"/><Relationship Id="rId120" Type="http://schemas.openxmlformats.org/officeDocument/2006/relationships/hyperlink" Target="https://admin.scape.mx/appointment/QkPEJWSliB" TargetMode="External"/><Relationship Id="rId141" Type="http://schemas.openxmlformats.org/officeDocument/2006/relationships/hyperlink" Target="https://admin.scape.mx/appointment/RE7GDHWz6W" TargetMode="External"/><Relationship Id="rId7" Type="http://schemas.openxmlformats.org/officeDocument/2006/relationships/hyperlink" Target="https://admin.scape.mx/appointment/JALwUoNm1p" TargetMode="External"/><Relationship Id="rId71" Type="http://schemas.openxmlformats.org/officeDocument/2006/relationships/hyperlink" Target="https://admin.scape.mx/appointment/hJfk1FipGO" TargetMode="External"/><Relationship Id="rId92" Type="http://schemas.openxmlformats.org/officeDocument/2006/relationships/hyperlink" Target="https://admin.scape.mx/appointment/36GqosOOeh" TargetMode="External"/><Relationship Id="rId162" Type="http://schemas.openxmlformats.org/officeDocument/2006/relationships/hyperlink" Target="https://admin.scape.mx/appointment/fZ3YVHUfxh" TargetMode="External"/><Relationship Id="rId183" Type="http://schemas.openxmlformats.org/officeDocument/2006/relationships/hyperlink" Target="https://admin.scape.mx/appointment/Ba7j5Oow9l" TargetMode="External"/><Relationship Id="rId2" Type="http://schemas.openxmlformats.org/officeDocument/2006/relationships/hyperlink" Target="https://admin.scape.mx/appointment/4fSPotDG0D" TargetMode="External"/><Relationship Id="rId29" Type="http://schemas.openxmlformats.org/officeDocument/2006/relationships/hyperlink" Target="https://admin.scape.mx/appointment/dSUS13gdIr" TargetMode="External"/><Relationship Id="rId24" Type="http://schemas.openxmlformats.org/officeDocument/2006/relationships/hyperlink" Target="https://admin.scape.mx/appointment/NmuDkPTrB2" TargetMode="External"/><Relationship Id="rId40" Type="http://schemas.openxmlformats.org/officeDocument/2006/relationships/hyperlink" Target="https://admin.scape.mx/appointment/DA49CCE7eY" TargetMode="External"/><Relationship Id="rId45" Type="http://schemas.openxmlformats.org/officeDocument/2006/relationships/hyperlink" Target="https://admin.scape.mx/appointment/JXIxrxpmXj" TargetMode="External"/><Relationship Id="rId66" Type="http://schemas.openxmlformats.org/officeDocument/2006/relationships/hyperlink" Target="https://admin.scape.mx/appointment/nSqJI9AD3n" TargetMode="External"/><Relationship Id="rId87" Type="http://schemas.openxmlformats.org/officeDocument/2006/relationships/hyperlink" Target="https://admin.scape.mx/appointment/ZlDpW6rdvl" TargetMode="External"/><Relationship Id="rId110" Type="http://schemas.openxmlformats.org/officeDocument/2006/relationships/hyperlink" Target="https://admin.scape.mx/appointment/LP9Ka8QI8b" TargetMode="External"/><Relationship Id="rId115" Type="http://schemas.openxmlformats.org/officeDocument/2006/relationships/hyperlink" Target="https://admin.scape.mx/appointment/3gY3FASMtX" TargetMode="External"/><Relationship Id="rId131" Type="http://schemas.openxmlformats.org/officeDocument/2006/relationships/hyperlink" Target="https://admin.scape.mx/appointment/a5HcXFvkq9" TargetMode="External"/><Relationship Id="rId136" Type="http://schemas.openxmlformats.org/officeDocument/2006/relationships/hyperlink" Target="https://admin.scape.mx/appointment/1bLUHY4XLn" TargetMode="External"/><Relationship Id="rId157" Type="http://schemas.openxmlformats.org/officeDocument/2006/relationships/hyperlink" Target="https://admin.scape.mx/appointment/fZ3YVHUfxh" TargetMode="External"/><Relationship Id="rId178" Type="http://schemas.openxmlformats.org/officeDocument/2006/relationships/hyperlink" Target="https://admin.scape.mx/appointment/lDVk6zlLnD" TargetMode="External"/><Relationship Id="rId61" Type="http://schemas.openxmlformats.org/officeDocument/2006/relationships/hyperlink" Target="https://admin.scape.mx/appointment/ok1hoQ8uxM" TargetMode="External"/><Relationship Id="rId82" Type="http://schemas.openxmlformats.org/officeDocument/2006/relationships/hyperlink" Target="https://admin.scape.mx/appointment/8fyu0S1PRy" TargetMode="External"/><Relationship Id="rId152" Type="http://schemas.openxmlformats.org/officeDocument/2006/relationships/hyperlink" Target="https://admin.scape.mx/appointment/6jwHc734rJ" TargetMode="External"/><Relationship Id="rId173" Type="http://schemas.openxmlformats.org/officeDocument/2006/relationships/hyperlink" Target="https://admin.scape.mx/appointment/cRohk4Cjbd" TargetMode="External"/><Relationship Id="rId194" Type="http://schemas.openxmlformats.org/officeDocument/2006/relationships/hyperlink" Target="https://admin.scape.mx/appointment/1v6SvD6pYQ" TargetMode="External"/><Relationship Id="rId199" Type="http://schemas.openxmlformats.org/officeDocument/2006/relationships/hyperlink" Target="https://admin.scape.mx/appointment/6FTYtJD1f8" TargetMode="External"/><Relationship Id="rId19" Type="http://schemas.openxmlformats.org/officeDocument/2006/relationships/hyperlink" Target="https://admin.scape.mx/appointment/he0VwsjaVz" TargetMode="External"/><Relationship Id="rId14" Type="http://schemas.openxmlformats.org/officeDocument/2006/relationships/hyperlink" Target="https://admin.scape.mx/appointment/JMMJCArMNY" TargetMode="External"/><Relationship Id="rId30" Type="http://schemas.openxmlformats.org/officeDocument/2006/relationships/hyperlink" Target="https://admin.scape.mx/appointment/dSUS13gdIr" TargetMode="External"/><Relationship Id="rId35" Type="http://schemas.openxmlformats.org/officeDocument/2006/relationships/hyperlink" Target="https://admin.scape.mx/appointment/GwE96WbytL" TargetMode="External"/><Relationship Id="rId56" Type="http://schemas.openxmlformats.org/officeDocument/2006/relationships/hyperlink" Target="https://admin.scape.mx/appointment/BzikGz0h23" TargetMode="External"/><Relationship Id="rId77" Type="http://schemas.openxmlformats.org/officeDocument/2006/relationships/hyperlink" Target="https://admin.scape.mx/appointment/6wiUzuzZjI" TargetMode="External"/><Relationship Id="rId100" Type="http://schemas.openxmlformats.org/officeDocument/2006/relationships/hyperlink" Target="https://admin.scape.mx/appointment/LDTpydLOFi" TargetMode="External"/><Relationship Id="rId105" Type="http://schemas.openxmlformats.org/officeDocument/2006/relationships/hyperlink" Target="https://admin.scape.mx/appointment/HivR8PUPaG" TargetMode="External"/><Relationship Id="rId126" Type="http://schemas.openxmlformats.org/officeDocument/2006/relationships/hyperlink" Target="https://admin.scape.mx/appointment/6FTYtJD1f8" TargetMode="External"/><Relationship Id="rId147" Type="http://schemas.openxmlformats.org/officeDocument/2006/relationships/hyperlink" Target="https://admin.scape.mx/appointment/oWqCDZOTmn" TargetMode="External"/><Relationship Id="rId168" Type="http://schemas.openxmlformats.org/officeDocument/2006/relationships/hyperlink" Target="https://admin.scape.mx/appointment/fgPcbhXou5" TargetMode="External"/><Relationship Id="rId8" Type="http://schemas.openxmlformats.org/officeDocument/2006/relationships/hyperlink" Target="https://admin.scape.mx/appointment/JALwUoNm1p" TargetMode="External"/><Relationship Id="rId51" Type="http://schemas.openxmlformats.org/officeDocument/2006/relationships/hyperlink" Target="https://admin.scape.mx/appointment/Y7d3vFYUeW" TargetMode="External"/><Relationship Id="rId72" Type="http://schemas.openxmlformats.org/officeDocument/2006/relationships/hyperlink" Target="https://admin.scape.mx/appointment/G5NBCZMr3m" TargetMode="External"/><Relationship Id="rId93" Type="http://schemas.openxmlformats.org/officeDocument/2006/relationships/hyperlink" Target="https://admin.scape.mx/appointment/dHtEEFzJbT" TargetMode="External"/><Relationship Id="rId98" Type="http://schemas.openxmlformats.org/officeDocument/2006/relationships/hyperlink" Target="https://admin.scape.mx/appointment/YHGNM81wjL" TargetMode="External"/><Relationship Id="rId121" Type="http://schemas.openxmlformats.org/officeDocument/2006/relationships/hyperlink" Target="https://admin.scape.mx/appointment/QkPEJWSliB" TargetMode="External"/><Relationship Id="rId142" Type="http://schemas.openxmlformats.org/officeDocument/2006/relationships/hyperlink" Target="https://admin.scape.mx/appointment/RE7GDHWz6W" TargetMode="External"/><Relationship Id="rId163" Type="http://schemas.openxmlformats.org/officeDocument/2006/relationships/hyperlink" Target="https://admin.scape.mx/appointment/zFij25jooZ" TargetMode="External"/><Relationship Id="rId184" Type="http://schemas.openxmlformats.org/officeDocument/2006/relationships/hyperlink" Target="https://admin.scape.mx/appointment/A0GwcwlIyO" TargetMode="External"/><Relationship Id="rId189" Type="http://schemas.openxmlformats.org/officeDocument/2006/relationships/hyperlink" Target="https://admin.scape.mx/appointment/YSUAq2ESjr" TargetMode="External"/><Relationship Id="rId3" Type="http://schemas.openxmlformats.org/officeDocument/2006/relationships/hyperlink" Target="https://admin.scape.mx/appointment/B89Wrkf48I" TargetMode="External"/><Relationship Id="rId25" Type="http://schemas.openxmlformats.org/officeDocument/2006/relationships/hyperlink" Target="https://admin.scape.mx/appointment/NmuDkPTrB2" TargetMode="External"/><Relationship Id="rId46" Type="http://schemas.openxmlformats.org/officeDocument/2006/relationships/hyperlink" Target="https://admin.scape.mx/appointment/9O09EUNT36" TargetMode="External"/><Relationship Id="rId67" Type="http://schemas.openxmlformats.org/officeDocument/2006/relationships/hyperlink" Target="https://admin.scape.mx/appointment/nSqJI9AD3n" TargetMode="External"/><Relationship Id="rId116" Type="http://schemas.openxmlformats.org/officeDocument/2006/relationships/hyperlink" Target="https://admin.scape.mx/appointment/EmCfNpZZ5A" TargetMode="External"/><Relationship Id="rId137" Type="http://schemas.openxmlformats.org/officeDocument/2006/relationships/hyperlink" Target="https://admin.scape.mx/appointment/UQOi4AvhkG" TargetMode="External"/><Relationship Id="rId158" Type="http://schemas.openxmlformats.org/officeDocument/2006/relationships/hyperlink" Target="https://admin.scape.mx/appointment/fZ3YVHUfxh" TargetMode="External"/><Relationship Id="rId20" Type="http://schemas.openxmlformats.org/officeDocument/2006/relationships/hyperlink" Target="https://admin.scape.mx/appointment/he0VwsjaVz" TargetMode="External"/><Relationship Id="rId41" Type="http://schemas.openxmlformats.org/officeDocument/2006/relationships/hyperlink" Target="https://admin.scape.mx/appointment/DA49CCE7eY" TargetMode="External"/><Relationship Id="rId62" Type="http://schemas.openxmlformats.org/officeDocument/2006/relationships/hyperlink" Target="https://admin.scape.mx/appointment/ok1hoQ8uxM" TargetMode="External"/><Relationship Id="rId83" Type="http://schemas.openxmlformats.org/officeDocument/2006/relationships/hyperlink" Target="https://admin.scape.mx/appointment/tt9jffqRFW" TargetMode="External"/><Relationship Id="rId88" Type="http://schemas.openxmlformats.org/officeDocument/2006/relationships/hyperlink" Target="https://admin.scape.mx/appointment/5tkgBzNkXR" TargetMode="External"/><Relationship Id="rId111" Type="http://schemas.openxmlformats.org/officeDocument/2006/relationships/hyperlink" Target="https://admin.scape.mx/appointment/LP9Ka8QI8b" TargetMode="External"/><Relationship Id="rId132" Type="http://schemas.openxmlformats.org/officeDocument/2006/relationships/hyperlink" Target="https://admin.scape.mx/appointment/Usiht8Me93" TargetMode="External"/><Relationship Id="rId153" Type="http://schemas.openxmlformats.org/officeDocument/2006/relationships/hyperlink" Target="https://admin.scape.mx/appointment/6jwHc734rJ" TargetMode="External"/><Relationship Id="rId174" Type="http://schemas.openxmlformats.org/officeDocument/2006/relationships/hyperlink" Target="https://admin.scape.mx/appointment/qDZDXmCUjJ" TargetMode="External"/><Relationship Id="rId179" Type="http://schemas.openxmlformats.org/officeDocument/2006/relationships/hyperlink" Target="https://admin.scape.mx/appointment/lDVk6zlLnD" TargetMode="External"/><Relationship Id="rId195" Type="http://schemas.openxmlformats.org/officeDocument/2006/relationships/hyperlink" Target="https://admin.scape.mx/appointment/6HH1MjcYSZ" TargetMode="External"/><Relationship Id="rId190" Type="http://schemas.openxmlformats.org/officeDocument/2006/relationships/hyperlink" Target="https://admin.scape.mx/appointment/cAuVYBzQUA" TargetMode="External"/><Relationship Id="rId15" Type="http://schemas.openxmlformats.org/officeDocument/2006/relationships/hyperlink" Target="https://admin.scape.mx/appointment/JMMJCArMNY" TargetMode="External"/><Relationship Id="rId36" Type="http://schemas.openxmlformats.org/officeDocument/2006/relationships/hyperlink" Target="https://admin.scape.mx/appointment/GwE96WbytL" TargetMode="External"/><Relationship Id="rId57" Type="http://schemas.openxmlformats.org/officeDocument/2006/relationships/hyperlink" Target="https://admin.scape.mx/appointment/1zZm6yVbHg" TargetMode="External"/><Relationship Id="rId106" Type="http://schemas.openxmlformats.org/officeDocument/2006/relationships/hyperlink" Target="https://admin.scape.mx/appointment/HivR8PUPaG" TargetMode="External"/><Relationship Id="rId127" Type="http://schemas.openxmlformats.org/officeDocument/2006/relationships/hyperlink" Target="https://admin.scape.mx/appointment/i4CKJB7Ff5" TargetMode="External"/><Relationship Id="rId10" Type="http://schemas.openxmlformats.org/officeDocument/2006/relationships/hyperlink" Target="https://admin.scape.mx/appointment/DiEDsDnENu" TargetMode="External"/><Relationship Id="rId31" Type="http://schemas.openxmlformats.org/officeDocument/2006/relationships/hyperlink" Target="https://admin.scape.mx/appointment/EHdpqUBPub" TargetMode="External"/><Relationship Id="rId52" Type="http://schemas.openxmlformats.org/officeDocument/2006/relationships/hyperlink" Target="https://admin.scape.mx/appointment/cpWnUpdqqG" TargetMode="External"/><Relationship Id="rId73" Type="http://schemas.openxmlformats.org/officeDocument/2006/relationships/hyperlink" Target="https://admin.scape.mx/appointment/G5NBCZMr3m" TargetMode="External"/><Relationship Id="rId78" Type="http://schemas.openxmlformats.org/officeDocument/2006/relationships/hyperlink" Target="https://admin.scape.mx/appointment/bB9iI1qKAi" TargetMode="External"/><Relationship Id="rId94" Type="http://schemas.openxmlformats.org/officeDocument/2006/relationships/hyperlink" Target="https://admin.scape.mx/appointment/Z9K5Kn83x4" TargetMode="External"/><Relationship Id="rId99" Type="http://schemas.openxmlformats.org/officeDocument/2006/relationships/hyperlink" Target="https://admin.scape.mx/appointment/YHGNM81wjL" TargetMode="External"/><Relationship Id="rId101" Type="http://schemas.openxmlformats.org/officeDocument/2006/relationships/hyperlink" Target="https://admin.scape.mx/appointment/tbaIoxKRgt" TargetMode="External"/><Relationship Id="rId122" Type="http://schemas.openxmlformats.org/officeDocument/2006/relationships/hyperlink" Target="https://admin.scape.mx/appointment/6FTYtJD1f8" TargetMode="External"/><Relationship Id="rId143" Type="http://schemas.openxmlformats.org/officeDocument/2006/relationships/hyperlink" Target="https://admin.scape.mx/appointment/RE7GDHWz6W" TargetMode="External"/><Relationship Id="rId148" Type="http://schemas.openxmlformats.org/officeDocument/2006/relationships/hyperlink" Target="https://admin.scape.mx/appointment/6jwHc734rJ" TargetMode="External"/><Relationship Id="rId164" Type="http://schemas.openxmlformats.org/officeDocument/2006/relationships/hyperlink" Target="https://admin.scape.mx/appointment/zFij25jooZ" TargetMode="External"/><Relationship Id="rId169" Type="http://schemas.openxmlformats.org/officeDocument/2006/relationships/hyperlink" Target="https://admin.scape.mx/appointment/qSJexfPlB2" TargetMode="External"/><Relationship Id="rId185" Type="http://schemas.openxmlformats.org/officeDocument/2006/relationships/hyperlink" Target="https://admin.scape.mx/appointment/A0GwcwlIyO" TargetMode="External"/><Relationship Id="rId4" Type="http://schemas.openxmlformats.org/officeDocument/2006/relationships/hyperlink" Target="https://admin.scape.mx/appointment/iCSfEb8NDQ" TargetMode="External"/><Relationship Id="rId9" Type="http://schemas.openxmlformats.org/officeDocument/2006/relationships/hyperlink" Target="https://admin.scape.mx/appointment/JALwUoNm1p" TargetMode="External"/><Relationship Id="rId180" Type="http://schemas.openxmlformats.org/officeDocument/2006/relationships/hyperlink" Target="https://admin.scape.mx/appointment/IxocrCmXf0" TargetMode="External"/><Relationship Id="rId26" Type="http://schemas.openxmlformats.org/officeDocument/2006/relationships/hyperlink" Target="https://admin.scape.mx/appointment/p0HcFVREjH" TargetMode="External"/><Relationship Id="rId47" Type="http://schemas.openxmlformats.org/officeDocument/2006/relationships/hyperlink" Target="https://admin.scape.mx/appointment/9O09EUNT36" TargetMode="External"/><Relationship Id="rId68" Type="http://schemas.openxmlformats.org/officeDocument/2006/relationships/hyperlink" Target="https://admin.scape.mx/appointment/yMaLlR9YPD" TargetMode="External"/><Relationship Id="rId89" Type="http://schemas.openxmlformats.org/officeDocument/2006/relationships/hyperlink" Target="https://admin.scape.mx/appointment/uSz0k9wWsk" TargetMode="External"/><Relationship Id="rId112" Type="http://schemas.openxmlformats.org/officeDocument/2006/relationships/hyperlink" Target="https://admin.scape.mx/appointment/3gY3FASMtX" TargetMode="External"/><Relationship Id="rId133" Type="http://schemas.openxmlformats.org/officeDocument/2006/relationships/hyperlink" Target="https://admin.scape.mx/appointment/Usiht8Me93" TargetMode="External"/><Relationship Id="rId154" Type="http://schemas.openxmlformats.org/officeDocument/2006/relationships/hyperlink" Target="https://admin.scape.mx/appointment/z09DRhkvxi" TargetMode="External"/><Relationship Id="rId175" Type="http://schemas.openxmlformats.org/officeDocument/2006/relationships/hyperlink" Target="https://admin.scape.mx/appointment/VWDix9i8AW" TargetMode="External"/><Relationship Id="rId196" Type="http://schemas.openxmlformats.org/officeDocument/2006/relationships/hyperlink" Target="https://admin.scape.mx/appointment/6HH1MjcYSZ" TargetMode="External"/><Relationship Id="rId200" Type="http://schemas.openxmlformats.org/officeDocument/2006/relationships/printerSettings" Target="../printerSettings/printerSettings3.bin"/><Relationship Id="rId16" Type="http://schemas.openxmlformats.org/officeDocument/2006/relationships/hyperlink" Target="https://admin.scape.mx/appointment/qSdRlkTh8N" TargetMode="External"/><Relationship Id="rId37" Type="http://schemas.openxmlformats.org/officeDocument/2006/relationships/hyperlink" Target="https://admin.scape.mx/appointment/DA49CCE7eY" TargetMode="External"/><Relationship Id="rId58" Type="http://schemas.openxmlformats.org/officeDocument/2006/relationships/hyperlink" Target="https://admin.scape.mx/appointment/UFgL1FmQrC" TargetMode="External"/><Relationship Id="rId79" Type="http://schemas.openxmlformats.org/officeDocument/2006/relationships/hyperlink" Target="https://admin.scape.mx/appointment/4A9VSDFdqG" TargetMode="External"/><Relationship Id="rId102" Type="http://schemas.openxmlformats.org/officeDocument/2006/relationships/hyperlink" Target="https://admin.scape.mx/appointment/vFVG1Q8f6Q" TargetMode="External"/><Relationship Id="rId123" Type="http://schemas.openxmlformats.org/officeDocument/2006/relationships/hyperlink" Target="https://admin.scape.mx/appointment/6FTYtJD1f8" TargetMode="External"/><Relationship Id="rId144" Type="http://schemas.openxmlformats.org/officeDocument/2006/relationships/hyperlink" Target="https://admin.scape.mx/appointment/8C860vOr1A" TargetMode="External"/><Relationship Id="rId90" Type="http://schemas.openxmlformats.org/officeDocument/2006/relationships/hyperlink" Target="https://admin.scape.mx/appointment/uSz0k9wWsk" TargetMode="External"/><Relationship Id="rId165" Type="http://schemas.openxmlformats.org/officeDocument/2006/relationships/hyperlink" Target="https://admin.scape.mx/appointment/zFij25jooZ" TargetMode="External"/><Relationship Id="rId186" Type="http://schemas.openxmlformats.org/officeDocument/2006/relationships/hyperlink" Target="https://admin.scape.mx/appointment/9q0A8LxBSZ" TargetMode="External"/><Relationship Id="rId27" Type="http://schemas.openxmlformats.org/officeDocument/2006/relationships/hyperlink" Target="https://admin.scape.mx/appointment/p0HcFVREjH" TargetMode="External"/><Relationship Id="rId48" Type="http://schemas.openxmlformats.org/officeDocument/2006/relationships/hyperlink" Target="https://admin.scape.mx/appointment/9O09EUNT36" TargetMode="External"/><Relationship Id="rId69" Type="http://schemas.openxmlformats.org/officeDocument/2006/relationships/hyperlink" Target="https://admin.scape.mx/appointment/HtVfGeRM7N" TargetMode="External"/><Relationship Id="rId113" Type="http://schemas.openxmlformats.org/officeDocument/2006/relationships/hyperlink" Target="https://admin.scape.mx/appointment/3gY3FASMtX" TargetMode="External"/><Relationship Id="rId134" Type="http://schemas.openxmlformats.org/officeDocument/2006/relationships/hyperlink" Target="https://admin.scape.mx/appointment/HOGaEN3F5f" TargetMode="External"/><Relationship Id="rId80" Type="http://schemas.openxmlformats.org/officeDocument/2006/relationships/hyperlink" Target="https://admin.scape.mx/appointment/BwmlYA6jXv" TargetMode="External"/><Relationship Id="rId155" Type="http://schemas.openxmlformats.org/officeDocument/2006/relationships/hyperlink" Target="https://admin.scape.mx/appointment/zknLjdFLLH" TargetMode="External"/><Relationship Id="rId176" Type="http://schemas.openxmlformats.org/officeDocument/2006/relationships/hyperlink" Target="https://admin.scape.mx/appointment/RGzB0FemFn" TargetMode="External"/><Relationship Id="rId197" Type="http://schemas.openxmlformats.org/officeDocument/2006/relationships/hyperlink" Target="https://admin.scape.mx/appointment/6HH1MjcYSZ" TargetMode="External"/><Relationship Id="rId17" Type="http://schemas.openxmlformats.org/officeDocument/2006/relationships/hyperlink" Target="https://admin.scape.mx/appointment/qSdRlkTh8N" TargetMode="External"/><Relationship Id="rId38" Type="http://schemas.openxmlformats.org/officeDocument/2006/relationships/hyperlink" Target="https://admin.scape.mx/appointment/DA49CCE7eY" TargetMode="External"/><Relationship Id="rId59" Type="http://schemas.openxmlformats.org/officeDocument/2006/relationships/hyperlink" Target="https://admin.scape.mx/appointment/UFgL1FmQrC" TargetMode="External"/><Relationship Id="rId103" Type="http://schemas.openxmlformats.org/officeDocument/2006/relationships/hyperlink" Target="https://admin.scape.mx/appointment/vFVG1Q8f6Q" TargetMode="External"/><Relationship Id="rId124" Type="http://schemas.openxmlformats.org/officeDocument/2006/relationships/hyperlink" Target="https://admin.scape.mx/appointment/6FTYtJD1f8" TargetMode="External"/><Relationship Id="rId70" Type="http://schemas.openxmlformats.org/officeDocument/2006/relationships/hyperlink" Target="https://admin.scape.mx/appointment/HtVfGeRM7N" TargetMode="External"/><Relationship Id="rId91" Type="http://schemas.openxmlformats.org/officeDocument/2006/relationships/hyperlink" Target="https://admin.scape.mx/appointment/4BePcXFwV4" TargetMode="External"/><Relationship Id="rId145" Type="http://schemas.openxmlformats.org/officeDocument/2006/relationships/hyperlink" Target="https://admin.scape.mx/appointment/8C860vOr1A" TargetMode="External"/><Relationship Id="rId166" Type="http://schemas.openxmlformats.org/officeDocument/2006/relationships/hyperlink" Target="https://admin.scape.mx/appointment/zFij25jooZ" TargetMode="External"/><Relationship Id="rId187" Type="http://schemas.openxmlformats.org/officeDocument/2006/relationships/hyperlink" Target="https://admin.scape.mx/appointment/2DTmgTUPWR" TargetMode="External"/><Relationship Id="rId1" Type="http://schemas.openxmlformats.org/officeDocument/2006/relationships/hyperlink" Target="https://admin.scape.mx/appointment/qQB5yF3zyz" TargetMode="External"/><Relationship Id="rId28" Type="http://schemas.openxmlformats.org/officeDocument/2006/relationships/hyperlink" Target="https://admin.scape.mx/appointment/dSUS13gdIr" TargetMode="External"/><Relationship Id="rId49" Type="http://schemas.openxmlformats.org/officeDocument/2006/relationships/hyperlink" Target="https://admin.scape.mx/appointment/Y7d3vFYUeW" TargetMode="External"/><Relationship Id="rId114" Type="http://schemas.openxmlformats.org/officeDocument/2006/relationships/hyperlink" Target="https://admin.scape.mx/appointment/3gY3FASMtX" TargetMode="External"/><Relationship Id="rId60" Type="http://schemas.openxmlformats.org/officeDocument/2006/relationships/hyperlink" Target="https://admin.scape.mx/appointment/ok1hoQ8uxM" TargetMode="External"/><Relationship Id="rId81" Type="http://schemas.openxmlformats.org/officeDocument/2006/relationships/hyperlink" Target="https://admin.scape.mx/appointment/h1XUfdINFo" TargetMode="External"/><Relationship Id="rId135" Type="http://schemas.openxmlformats.org/officeDocument/2006/relationships/hyperlink" Target="https://admin.scape.mx/appointment/HOGaEN3F5f" TargetMode="External"/><Relationship Id="rId156" Type="http://schemas.openxmlformats.org/officeDocument/2006/relationships/hyperlink" Target="https://admin.scape.mx/appointment/zknLjdFLLH" TargetMode="External"/><Relationship Id="rId177" Type="http://schemas.openxmlformats.org/officeDocument/2006/relationships/hyperlink" Target="https://admin.scape.mx/appointment/lDVk6zlLnD" TargetMode="External"/><Relationship Id="rId198" Type="http://schemas.openxmlformats.org/officeDocument/2006/relationships/hyperlink" Target="https://admin.scape.mx/appointment/6FTYtJD1f8" TargetMode="External"/><Relationship Id="rId18" Type="http://schemas.openxmlformats.org/officeDocument/2006/relationships/hyperlink" Target="https://admin.scape.mx/appointment/qSdRlkTh8N" TargetMode="External"/><Relationship Id="rId39" Type="http://schemas.openxmlformats.org/officeDocument/2006/relationships/hyperlink" Target="https://admin.scape.mx/appointment/DA49CCE7eY" TargetMode="External"/><Relationship Id="rId50" Type="http://schemas.openxmlformats.org/officeDocument/2006/relationships/hyperlink" Target="https://admin.scape.mx/appointment/Y7d3vFYUeW" TargetMode="External"/><Relationship Id="rId104" Type="http://schemas.openxmlformats.org/officeDocument/2006/relationships/hyperlink" Target="https://admin.scape.mx/appointment/HivR8PUPaG" TargetMode="External"/><Relationship Id="rId125" Type="http://schemas.openxmlformats.org/officeDocument/2006/relationships/hyperlink" Target="https://admin.scape.mx/appointment/6FTYtJD1f8" TargetMode="External"/><Relationship Id="rId146" Type="http://schemas.openxmlformats.org/officeDocument/2006/relationships/hyperlink" Target="https://admin.scape.mx/appointment/oWqCDZOTmn" TargetMode="External"/><Relationship Id="rId167" Type="http://schemas.openxmlformats.org/officeDocument/2006/relationships/hyperlink" Target="https://admin.scape.mx/appointment/fgPcbhXou5" TargetMode="External"/><Relationship Id="rId188" Type="http://schemas.openxmlformats.org/officeDocument/2006/relationships/hyperlink" Target="https://admin.scape.mx/appointment/2DTmgTUPW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dmin.scape.mx/appointment/HmzhHaOQbi" TargetMode="External"/><Relationship Id="rId2" Type="http://schemas.openxmlformats.org/officeDocument/2006/relationships/hyperlink" Target="https://admin.scape.mx/appointment/2mcTu0KV3Q" TargetMode="External"/><Relationship Id="rId1" Type="http://schemas.openxmlformats.org/officeDocument/2006/relationships/hyperlink" Target="https://admin.scape.mx/appointment/FAMzZwChQs" TargetMode="External"/><Relationship Id="rId5" Type="http://schemas.openxmlformats.org/officeDocument/2006/relationships/hyperlink" Target="https://admin.scape.mx/appointment/mBc0Va06ZD" TargetMode="External"/><Relationship Id="rId4" Type="http://schemas.openxmlformats.org/officeDocument/2006/relationships/hyperlink" Target="https://admin.scape.mx/appointment/mBc0Va06Z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A242-4F5E-4F17-AD47-A0620818996D}">
  <sheetPr filterMode="1">
    <tabColor rgb="FF00B050"/>
  </sheetPr>
  <dimension ref="B1:W77"/>
  <sheetViews>
    <sheetView showGridLines="0" tabSelected="1" zoomScale="80" zoomScaleNormal="80" workbookViewId="0">
      <pane xSplit="3" ySplit="5" topLeftCell="J7" activePane="bottomRight" state="frozen"/>
      <selection pane="topRight" activeCell="D1" sqref="D1"/>
      <selection pane="bottomLeft" activeCell="A5" sqref="A5"/>
      <selection pane="bottomRight" activeCell="Q57" sqref="Q57"/>
    </sheetView>
  </sheetViews>
  <sheetFormatPr baseColWidth="10" defaultRowHeight="14.25"/>
  <cols>
    <col min="1" max="1" width="2.625" customWidth="1"/>
    <col min="3" max="3" width="39.125" bestFit="1" customWidth="1"/>
    <col min="4" max="4" width="19.875" style="26" bestFit="1" customWidth="1"/>
    <col min="5" max="5" width="11.625" style="26" customWidth="1"/>
    <col min="6" max="6" width="18.125" style="26" bestFit="1" customWidth="1"/>
    <col min="7" max="7" width="10.625" style="26" bestFit="1" customWidth="1"/>
    <col min="8" max="8" width="10.125" style="26" customWidth="1"/>
    <col min="9" max="9" width="18.125" style="26" bestFit="1" customWidth="1"/>
    <col min="10" max="10" width="17.75" style="26" bestFit="1" customWidth="1"/>
    <col min="11" max="12" width="18.125" style="26" bestFit="1" customWidth="1"/>
    <col min="13" max="13" width="11.125" style="26" customWidth="1"/>
    <col min="14" max="14" width="18.375" bestFit="1" customWidth="1"/>
    <col min="15" max="15" width="12.25" customWidth="1"/>
    <col min="16" max="16" width="17.75" style="100" bestFit="1" customWidth="1"/>
    <col min="17" max="17" width="10.75" style="100" customWidth="1"/>
    <col min="18" max="18" width="11.25" style="97" bestFit="1" customWidth="1"/>
    <col min="19" max="19" width="12.875" style="100" customWidth="1"/>
    <col min="20" max="20" width="13.25" style="43" customWidth="1"/>
    <col min="21" max="21" width="15.375" style="65" customWidth="1"/>
  </cols>
  <sheetData>
    <row r="1" spans="2:23">
      <c r="C1" s="114" t="s">
        <v>494</v>
      </c>
      <c r="D1" s="117">
        <f>D3+F3+G3+I3+J3+E3+H3</f>
        <v>3225204</v>
      </c>
      <c r="E1" s="117"/>
      <c r="F1" s="149">
        <f>D1-BASE!Q1</f>
        <v>0</v>
      </c>
      <c r="I1" s="96"/>
      <c r="K1" s="113">
        <f>K3-'Eventos B2B_MKT y Turnos DT'!P2</f>
        <v>0</v>
      </c>
      <c r="L1" s="113">
        <f>L3-'Eventos B2B_MKT y Turnos DT'!P3</f>
        <v>0</v>
      </c>
      <c r="M1" s="113">
        <f>M3-'Eventos B2B_MKT y Turnos DT'!P4</f>
        <v>0</v>
      </c>
      <c r="N1" s="116">
        <f>N3-Incidencias!K2</f>
        <v>0</v>
      </c>
      <c r="O1" s="116">
        <f>(D1+K3+L3+M3+N3)-O3</f>
        <v>0</v>
      </c>
    </row>
    <row r="2" spans="2:23">
      <c r="I2" s="96"/>
      <c r="T2" s="153"/>
      <c r="U2" s="154"/>
    </row>
    <row r="3" spans="2:23" ht="15">
      <c r="D3" s="78">
        <f>SUBTOTAL(9,D6:D99)</f>
        <v>1888913</v>
      </c>
      <c r="E3" s="78">
        <f t="shared" ref="E3:Q3" si="0">SUBTOTAL(9,E6:E99)</f>
        <v>45378</v>
      </c>
      <c r="F3" s="78">
        <f t="shared" si="0"/>
        <v>1151594</v>
      </c>
      <c r="G3" s="78">
        <f t="shared" si="0"/>
        <v>0</v>
      </c>
      <c r="H3" s="78">
        <f t="shared" si="0"/>
        <v>22689</v>
      </c>
      <c r="I3" s="78">
        <f t="shared" si="0"/>
        <v>68067</v>
      </c>
      <c r="J3" s="78">
        <f t="shared" si="0"/>
        <v>48563</v>
      </c>
      <c r="K3" s="78">
        <f t="shared" si="0"/>
        <v>509750</v>
      </c>
      <c r="L3" s="78">
        <f t="shared" si="0"/>
        <v>327488</v>
      </c>
      <c r="M3" s="78">
        <f t="shared" si="0"/>
        <v>0</v>
      </c>
      <c r="N3" s="78">
        <f t="shared" si="0"/>
        <v>45000</v>
      </c>
      <c r="O3" s="78">
        <f>SUBTOTAL(9,O6:O99)</f>
        <v>4107442</v>
      </c>
      <c r="P3" s="78">
        <f t="shared" si="0"/>
        <v>239425.89075630257</v>
      </c>
      <c r="Q3" s="78">
        <f t="shared" si="0"/>
        <v>74426.000000000058</v>
      </c>
      <c r="R3" s="119">
        <f t="shared" ref="R3" si="1">IFERROR(Q3/O3,0)</f>
        <v>1.8119793292272916E-2</v>
      </c>
      <c r="S3" s="78">
        <f>SUBTOTAL(9,S6:S99)</f>
        <v>164999.89075630251</v>
      </c>
      <c r="T3" s="78">
        <f>SUBTOTAL(9,T6:T99)</f>
        <v>3406631.0950000002</v>
      </c>
      <c r="U3" s="122" t="str">
        <f>+IF(O3*(1-0.1525)-Q3=T3,"OK","REVISAR")</f>
        <v>OK</v>
      </c>
    </row>
    <row r="4" spans="2:23">
      <c r="D4" s="111"/>
      <c r="E4" s="111"/>
      <c r="F4" s="111"/>
      <c r="G4" s="111"/>
      <c r="H4" s="111"/>
      <c r="I4" s="111"/>
      <c r="J4" s="111"/>
      <c r="V4" s="131"/>
    </row>
    <row r="5" spans="2:23" ht="32.450000000000003" customHeight="1">
      <c r="B5" s="90" t="s">
        <v>335</v>
      </c>
      <c r="C5" s="90" t="s">
        <v>336</v>
      </c>
      <c r="D5" s="91" t="s">
        <v>4</v>
      </c>
      <c r="E5" s="126" t="s">
        <v>533</v>
      </c>
      <c r="F5" s="91" t="s">
        <v>452</v>
      </c>
      <c r="G5" s="91" t="s">
        <v>3</v>
      </c>
      <c r="H5" s="126" t="s">
        <v>532</v>
      </c>
      <c r="I5" s="91" t="s">
        <v>453</v>
      </c>
      <c r="J5" s="92" t="s">
        <v>454</v>
      </c>
      <c r="K5" s="92" t="s">
        <v>455</v>
      </c>
      <c r="L5" s="92" t="s">
        <v>456</v>
      </c>
      <c r="M5" s="92" t="s">
        <v>457</v>
      </c>
      <c r="N5" s="93" t="s">
        <v>36</v>
      </c>
      <c r="O5" s="94" t="s">
        <v>458</v>
      </c>
      <c r="P5" s="104" t="s">
        <v>459</v>
      </c>
      <c r="Q5" s="104" t="s">
        <v>460</v>
      </c>
      <c r="R5" s="98" t="s">
        <v>461</v>
      </c>
      <c r="S5" s="101" t="s">
        <v>462</v>
      </c>
      <c r="T5" s="95" t="s">
        <v>463</v>
      </c>
      <c r="U5" s="123" t="s">
        <v>521</v>
      </c>
    </row>
    <row r="6" spans="2:23" hidden="1">
      <c r="B6" s="74" t="str">
        <f>Nómina!D3</f>
        <v>20025768-5</v>
      </c>
      <c r="C6" s="75" t="str">
        <f>Nómina!E3</f>
        <v>ADOLFO STEPHEN PFENG ROJAS</v>
      </c>
      <c r="D6" s="76">
        <f>SUMIFS(BASE!$Q$3:$Q$453,BASE!$O$3:$O$453,Resumen!D$5,BASE!$B$3:$B$453,Resumen!$B6)</f>
        <v>0</v>
      </c>
      <c r="E6" s="76">
        <f>SUMIFS(BASE!$Q$3:$Q$453,BASE!$O$3:$O$453,Resumen!E$5,BASE!$B$3:$B$453,Resumen!$B6)</f>
        <v>0</v>
      </c>
      <c r="F6" s="76">
        <f>SUMIFS(BASE!$Q$3:$Q$453,BASE!$O$3:$O$453,Resumen!F$5,BASE!$B$3:$B$453,Resumen!$B6)</f>
        <v>0</v>
      </c>
      <c r="G6" s="76">
        <f>SUMIFS(BASE!$Q$3:$Q$453,BASE!$O$3:$O$453,Resumen!G$5,BASE!$B$3:$B$453,Resumen!$B6)</f>
        <v>0</v>
      </c>
      <c r="H6" s="76">
        <f>SUMIFS(BASE!$Q$3:$Q$453,BASE!$O$3:$O$453,Resumen!H$5,BASE!$B$3:$B$453,Resumen!$B6)</f>
        <v>0</v>
      </c>
      <c r="I6" s="76">
        <f>SUMIFS(BASE!$Q$3:$Q$453,BASE!$O$3:$O$453,Resumen!I$5,BASE!$B$3:$B$453,Resumen!$B6)</f>
        <v>0</v>
      </c>
      <c r="J6" s="76">
        <f>SUMIFS(BASE!$Q$3:$Q$453,BASE!$O$3:$O$453,Resumen!J$5,BASE!$B$3:$B$453,Resumen!$B6)</f>
        <v>0</v>
      </c>
      <c r="K6" s="76">
        <f>SUMIFS('Eventos B2B_MKT y Turnos DT'!$K$6:$K$456,'Eventos B2B_MKT y Turnos DT'!$D$6:$D$456,Resumen!$B6,'Eventos B2B_MKT y Turnos DT'!$G$6:$G$456,"B2B")</f>
        <v>0</v>
      </c>
      <c r="L6" s="76">
        <f>SUMIFS('Eventos B2B_MKT y Turnos DT'!$K$6:$K$456,'Eventos B2B_MKT y Turnos DT'!$D$6:$D$456,Resumen!$B6,'Eventos B2B_MKT y Turnos DT'!$G$6:$G$456,"Hotel")</f>
        <v>0</v>
      </c>
      <c r="M6" s="76">
        <f>SUMIFS('Eventos B2B_MKT y Turnos DT'!$K$6:$K$456,'Eventos B2B_MKT y Turnos DT'!$D$6:$D$456,Resumen!$B6,'Eventos B2B_MKT y Turnos DT'!$G$6:$G$456,"Marketing")</f>
        <v>0</v>
      </c>
      <c r="N6" s="76">
        <f>SUMIF(Incidencias!$E$4:$E$89,$B6,Incidencias!$K$4:$K$89)</f>
        <v>0</v>
      </c>
      <c r="O6" s="80">
        <f>SUM(D6:N6)</f>
        <v>0</v>
      </c>
      <c r="P6" s="102">
        <v>128400</v>
      </c>
      <c r="Q6" s="102"/>
      <c r="R6" s="99">
        <f>IFERROR(Q6/O6,0)</f>
        <v>0</v>
      </c>
      <c r="S6" s="102">
        <f>IFERROR(P6-Q6,"")</f>
        <v>128400</v>
      </c>
      <c r="T6" s="89">
        <f>O6*(1-0.1525)-Q6</f>
        <v>0</v>
      </c>
      <c r="V6" s="132"/>
    </row>
    <row r="7" spans="2:23" ht="15">
      <c r="B7" s="74" t="str">
        <f>Nómina!D4</f>
        <v>13715658-K</v>
      </c>
      <c r="C7" s="75" t="str">
        <f>Nómina!E4</f>
        <v>ALEJANDRA PAZ SANCHEZ LENERO</v>
      </c>
      <c r="D7" s="76">
        <f>SUMIFS(BASE!$Q$3:$Q$453,BASE!$O$3:$O$453,Resumen!D$5,BASE!$B$3:$B$453,Resumen!$B7)</f>
        <v>68067</v>
      </c>
      <c r="E7" s="76">
        <f>SUMIFS(BASE!$Q$3:$Q$453,BASE!$O$3:$O$453,Resumen!E$5,BASE!$B$3:$B$453,Resumen!$B7)</f>
        <v>0</v>
      </c>
      <c r="F7" s="76">
        <f>SUMIFS(BASE!$Q$3:$Q$453,BASE!$O$3:$O$453,Resumen!F$5,BASE!$B$3:$B$453,Resumen!$B7)</f>
        <v>110924</v>
      </c>
      <c r="G7" s="76">
        <f>SUMIFS(BASE!$Q$3:$Q$453,BASE!$O$3:$O$453,Resumen!G$5,BASE!$B$3:$B$453,Resumen!$B7)</f>
        <v>0</v>
      </c>
      <c r="H7" s="76">
        <f>SUMIFS(BASE!$Q$3:$Q$453,BASE!$O$3:$O$453,Resumen!H$5,BASE!$B$3:$B$453,Resumen!$B7)</f>
        <v>0</v>
      </c>
      <c r="I7" s="76">
        <f>SUMIFS(BASE!$Q$3:$Q$453,BASE!$O$3:$O$453,Resumen!I$5,BASE!$B$3:$B$453,Resumen!$B7)</f>
        <v>0</v>
      </c>
      <c r="J7" s="76">
        <f>SUMIFS(BASE!$Q$3:$Q$453,BASE!$O$3:$O$453,Resumen!J$5,BASE!$B$3:$B$453,Resumen!$B7)</f>
        <v>0</v>
      </c>
      <c r="K7" s="76">
        <f>SUMIFS('Eventos B2B_MKT y Turnos DT'!$K$6:$K$456,'Eventos B2B_MKT y Turnos DT'!$D$6:$D$456,Resumen!$B7,'Eventos B2B_MKT y Turnos DT'!$G$6:$G$456,"B2B")</f>
        <v>0</v>
      </c>
      <c r="L7" s="76">
        <f>SUMIFS('Eventos B2B_MKT y Turnos DT'!$K$6:$K$456,'Eventos B2B_MKT y Turnos DT'!$D$6:$D$456,Resumen!$B7,'Eventos B2B_MKT y Turnos DT'!$G$6:$G$456,"Hotel")</f>
        <v>23392</v>
      </c>
      <c r="M7" s="76">
        <f>SUMIFS('Eventos B2B_MKT y Turnos DT'!$K$6:$K$456,'Eventos B2B_MKT y Turnos DT'!$D$6:$D$456,Resumen!$B7,'Eventos B2B_MKT y Turnos DT'!$G$6:$G$456,"Marketing")</f>
        <v>0</v>
      </c>
      <c r="N7" s="76">
        <f>SUMIF(Incidencias!$E$4:$E$89,$B7,Incidencias!$K$4:$K$89)</f>
        <v>0</v>
      </c>
      <c r="O7" s="80">
        <f t="shared" ref="O7:O70" si="2">SUM(D7:N7)</f>
        <v>202383</v>
      </c>
      <c r="P7" s="102">
        <v>0</v>
      </c>
      <c r="Q7" s="102">
        <f>+IF(AND(P7&lt;&gt;0,P7&gt;O7*0.2),O7*0.2,P7)</f>
        <v>0</v>
      </c>
      <c r="R7" s="99">
        <f>IFERROR(Q7/O7,0)</f>
        <v>0</v>
      </c>
      <c r="S7" s="102">
        <f t="shared" ref="S7:S70" si="3">IFERROR(P7-Q7,"")</f>
        <v>0</v>
      </c>
      <c r="T7" s="89">
        <f t="shared" ref="T7:T70" si="4">O7*(1-0.1525)-Q7</f>
        <v>171519.5925</v>
      </c>
      <c r="U7" s="122" t="str">
        <f>+IF(O7*(1-0.1525)-Q7=T7,"OK","REVISAR")</f>
        <v>OK</v>
      </c>
      <c r="V7" s="132"/>
      <c r="W7" s="132"/>
    </row>
    <row r="8" spans="2:23" hidden="1">
      <c r="B8" s="74" t="str">
        <f>Nómina!D5</f>
        <v>15939313-5</v>
      </c>
      <c r="C8" s="75" t="str">
        <f>Nómina!E5</f>
        <v>ANA MARIA ORTEGA RIVAS</v>
      </c>
      <c r="D8" s="76">
        <f>SUMIFS(BASE!$Q$3:$Q$453,BASE!$O$3:$O$453,Resumen!D$5,BASE!$B$3:$B$453,Resumen!$B8)</f>
        <v>0</v>
      </c>
      <c r="E8" s="76">
        <f>SUMIFS(BASE!$Q$3:$Q$453,BASE!$O$3:$O$453,Resumen!E$5,BASE!$B$3:$B$453,Resumen!$B8)</f>
        <v>0</v>
      </c>
      <c r="F8" s="76">
        <f>SUMIFS(BASE!$Q$3:$Q$453,BASE!$O$3:$O$453,Resumen!F$5,BASE!$B$3:$B$453,Resumen!$B8)</f>
        <v>0</v>
      </c>
      <c r="G8" s="76">
        <f>SUMIFS(BASE!$Q$3:$Q$453,BASE!$O$3:$O$453,Resumen!G$5,BASE!$B$3:$B$453,Resumen!$B8)</f>
        <v>0</v>
      </c>
      <c r="H8" s="76">
        <f>SUMIFS(BASE!$Q$3:$Q$453,BASE!$O$3:$O$453,Resumen!H$5,BASE!$B$3:$B$453,Resumen!$B8)</f>
        <v>0</v>
      </c>
      <c r="I8" s="76">
        <f>SUMIFS(BASE!$Q$3:$Q$453,BASE!$O$3:$O$453,Resumen!I$5,BASE!$B$3:$B$453,Resumen!$B8)</f>
        <v>0</v>
      </c>
      <c r="J8" s="76">
        <f>SUMIFS(BASE!$Q$3:$Q$453,BASE!$O$3:$O$453,Resumen!J$5,BASE!$B$3:$B$453,Resumen!$B8)</f>
        <v>0</v>
      </c>
      <c r="K8" s="76">
        <f>SUMIFS('Eventos B2B_MKT y Turnos DT'!$K$6:$K$456,'Eventos B2B_MKT y Turnos DT'!$D$6:$D$456,Resumen!$B8,'Eventos B2B_MKT y Turnos DT'!$G$6:$G$456,"B2B")</f>
        <v>0</v>
      </c>
      <c r="L8" s="76">
        <f>SUMIFS('Eventos B2B_MKT y Turnos DT'!$K$6:$K$456,'Eventos B2B_MKT y Turnos DT'!$D$6:$D$456,Resumen!$B8,'Eventos B2B_MKT y Turnos DT'!$G$6:$G$456,"Hotel")</f>
        <v>0</v>
      </c>
      <c r="M8" s="76">
        <f>SUMIFS('Eventos B2B_MKT y Turnos DT'!$K$6:$K$456,'Eventos B2B_MKT y Turnos DT'!$D$6:$D$456,Resumen!$B8,'Eventos B2B_MKT y Turnos DT'!$G$6:$G$456,"Marketing")</f>
        <v>0</v>
      </c>
      <c r="N8" s="76">
        <f>SUMIF(Incidencias!$E$4:$E$89,$B8,Incidencias!$K$4:$K$89)</f>
        <v>0</v>
      </c>
      <c r="O8" s="80">
        <f t="shared" si="2"/>
        <v>0</v>
      </c>
      <c r="P8" s="102">
        <v>29990</v>
      </c>
      <c r="Q8" s="102"/>
      <c r="R8" s="99">
        <f t="shared" ref="R8:R70" si="5">IFERROR(Q8/O8,0)</f>
        <v>0</v>
      </c>
      <c r="S8" s="102">
        <f t="shared" si="3"/>
        <v>29990</v>
      </c>
      <c r="T8" s="89">
        <f t="shared" si="4"/>
        <v>0</v>
      </c>
      <c r="V8" s="132"/>
    </row>
    <row r="9" spans="2:23" hidden="1">
      <c r="B9" s="74" t="str">
        <f>Nómina!D6</f>
        <v>15688433-2</v>
      </c>
      <c r="C9" s="75" t="str">
        <f>Nómina!E6</f>
        <v>ANA MARIA POZAS WISTUBA  </v>
      </c>
      <c r="D9" s="76">
        <f>SUMIFS(BASE!$Q$3:$Q$453,BASE!$O$3:$O$453,Resumen!D$5,BASE!$B$3:$B$453,Resumen!$B9)</f>
        <v>0</v>
      </c>
      <c r="E9" s="76">
        <f>SUMIFS(BASE!$Q$3:$Q$453,BASE!$O$3:$O$453,Resumen!E$5,BASE!$B$3:$B$453,Resumen!$B9)</f>
        <v>0</v>
      </c>
      <c r="F9" s="76">
        <f>SUMIFS(BASE!$Q$3:$Q$453,BASE!$O$3:$O$453,Resumen!F$5,BASE!$B$3:$B$453,Resumen!$B9)</f>
        <v>0</v>
      </c>
      <c r="G9" s="76">
        <f>SUMIFS(BASE!$Q$3:$Q$453,BASE!$O$3:$O$453,Resumen!G$5,BASE!$B$3:$B$453,Resumen!$B9)</f>
        <v>0</v>
      </c>
      <c r="H9" s="76">
        <f>SUMIFS(BASE!$Q$3:$Q$453,BASE!$O$3:$O$453,Resumen!H$5,BASE!$B$3:$B$453,Resumen!$B9)</f>
        <v>0</v>
      </c>
      <c r="I9" s="76">
        <f>SUMIFS(BASE!$Q$3:$Q$453,BASE!$O$3:$O$453,Resumen!I$5,BASE!$B$3:$B$453,Resumen!$B9)</f>
        <v>0</v>
      </c>
      <c r="J9" s="76">
        <f>SUMIFS(BASE!$Q$3:$Q$453,BASE!$O$3:$O$453,Resumen!J$5,BASE!$B$3:$B$453,Resumen!$B9)</f>
        <v>0</v>
      </c>
      <c r="K9" s="76">
        <f>SUMIFS('Eventos B2B_MKT y Turnos DT'!$K$6:$K$456,'Eventos B2B_MKT y Turnos DT'!$D$6:$D$456,Resumen!$B9,'Eventos B2B_MKT y Turnos DT'!$G$6:$G$456,"B2B")</f>
        <v>0</v>
      </c>
      <c r="L9" s="76">
        <f>SUMIFS('Eventos B2B_MKT y Turnos DT'!$K$6:$K$456,'Eventos B2B_MKT y Turnos DT'!$D$6:$D$456,Resumen!$B9,'Eventos B2B_MKT y Turnos DT'!$G$6:$G$456,"Hotel")</f>
        <v>0</v>
      </c>
      <c r="M9" s="76">
        <f>SUMIFS('Eventos B2B_MKT y Turnos DT'!$K$6:$K$456,'Eventos B2B_MKT y Turnos DT'!$D$6:$D$456,Resumen!$B9,'Eventos B2B_MKT y Turnos DT'!$G$6:$G$456,"Marketing")</f>
        <v>0</v>
      </c>
      <c r="N9" s="76">
        <f>SUMIF(Incidencias!$E$4:$E$89,$B9,Incidencias!$K$4:$K$89)</f>
        <v>0</v>
      </c>
      <c r="O9" s="80">
        <f t="shared" si="2"/>
        <v>0</v>
      </c>
      <c r="P9" s="102">
        <v>85000</v>
      </c>
      <c r="Q9" s="102"/>
      <c r="R9" s="99">
        <f t="shared" si="5"/>
        <v>0</v>
      </c>
      <c r="S9" s="102">
        <f t="shared" si="3"/>
        <v>85000</v>
      </c>
      <c r="T9" s="89">
        <f t="shared" si="4"/>
        <v>0</v>
      </c>
      <c r="V9" s="132"/>
    </row>
    <row r="10" spans="2:23" hidden="1">
      <c r="B10" s="74" t="str">
        <f>Nómina!D7</f>
        <v>18480921-4</v>
      </c>
      <c r="C10" s="75" t="str">
        <f>Nómina!E7</f>
        <v>ANDREA JUANA ALVAREZ SEPULVEDA </v>
      </c>
      <c r="D10" s="76">
        <f>SUMIFS(BASE!$Q$3:$Q$453,BASE!$O$3:$O$453,Resumen!D$5,BASE!$B$3:$B$453,Resumen!$B10)</f>
        <v>0</v>
      </c>
      <c r="E10" s="76">
        <f>SUMIFS(BASE!$Q$3:$Q$453,BASE!$O$3:$O$453,Resumen!E$5,BASE!$B$3:$B$453,Resumen!$B10)</f>
        <v>0</v>
      </c>
      <c r="F10" s="76">
        <f>SUMIFS(BASE!$Q$3:$Q$453,BASE!$O$3:$O$453,Resumen!F$5,BASE!$B$3:$B$453,Resumen!$B10)</f>
        <v>0</v>
      </c>
      <c r="G10" s="76">
        <f>SUMIFS(BASE!$Q$3:$Q$453,BASE!$O$3:$O$453,Resumen!G$5,BASE!$B$3:$B$453,Resumen!$B10)</f>
        <v>0</v>
      </c>
      <c r="H10" s="76">
        <f>SUMIFS(BASE!$Q$3:$Q$453,BASE!$O$3:$O$453,Resumen!H$5,BASE!$B$3:$B$453,Resumen!$B10)</f>
        <v>0</v>
      </c>
      <c r="I10" s="76">
        <f>SUMIFS(BASE!$Q$3:$Q$453,BASE!$O$3:$O$453,Resumen!I$5,BASE!$B$3:$B$453,Resumen!$B10)</f>
        <v>0</v>
      </c>
      <c r="J10" s="76">
        <f>SUMIFS(BASE!$Q$3:$Q$453,BASE!$O$3:$O$453,Resumen!J$5,BASE!$B$3:$B$453,Resumen!$B10)</f>
        <v>0</v>
      </c>
      <c r="K10" s="76">
        <f>SUMIFS('Eventos B2B_MKT y Turnos DT'!$K$6:$K$456,'Eventos B2B_MKT y Turnos DT'!$D$6:$D$456,Resumen!$B10,'Eventos B2B_MKT y Turnos DT'!$G$6:$G$456,"B2B")</f>
        <v>0</v>
      </c>
      <c r="L10" s="76">
        <f>SUMIFS('Eventos B2B_MKT y Turnos DT'!$K$6:$K$456,'Eventos B2B_MKT y Turnos DT'!$D$6:$D$456,Resumen!$B10,'Eventos B2B_MKT y Turnos DT'!$G$6:$G$456,"Hotel")</f>
        <v>0</v>
      </c>
      <c r="M10" s="76">
        <f>SUMIFS('Eventos B2B_MKT y Turnos DT'!$K$6:$K$456,'Eventos B2B_MKT y Turnos DT'!$D$6:$D$456,Resumen!$B10,'Eventos B2B_MKT y Turnos DT'!$G$6:$G$456,"Marketing")</f>
        <v>0</v>
      </c>
      <c r="N10" s="76">
        <f>SUMIF(Incidencias!$E$4:$E$89,$B10,Incidencias!$K$4:$K$89)</f>
        <v>0</v>
      </c>
      <c r="O10" s="80">
        <f t="shared" si="2"/>
        <v>0</v>
      </c>
      <c r="P10" s="102">
        <v>0</v>
      </c>
      <c r="Q10" s="102"/>
      <c r="R10" s="99">
        <f t="shared" si="5"/>
        <v>0</v>
      </c>
      <c r="S10" s="102">
        <f t="shared" si="3"/>
        <v>0</v>
      </c>
      <c r="T10" s="89">
        <f t="shared" si="4"/>
        <v>0</v>
      </c>
      <c r="V10" s="132"/>
    </row>
    <row r="11" spans="2:23" hidden="1">
      <c r="B11" s="74" t="str">
        <f>Nómina!D8</f>
        <v>24133147-4</v>
      </c>
      <c r="C11" s="75" t="str">
        <f>Nómina!E8</f>
        <v>ANGEL LOPEZ FERNANDEZ</v>
      </c>
      <c r="D11" s="76">
        <f>SUMIFS(BASE!$Q$3:$Q$453,BASE!$O$3:$O$453,Resumen!D$5,BASE!$B$3:$B$453,Resumen!$B11)</f>
        <v>0</v>
      </c>
      <c r="E11" s="76">
        <f>SUMIFS(BASE!$Q$3:$Q$453,BASE!$O$3:$O$453,Resumen!E$5,BASE!$B$3:$B$453,Resumen!$B11)</f>
        <v>0</v>
      </c>
      <c r="F11" s="76">
        <f>SUMIFS(BASE!$Q$3:$Q$453,BASE!$O$3:$O$453,Resumen!F$5,BASE!$B$3:$B$453,Resumen!$B11)</f>
        <v>0</v>
      </c>
      <c r="G11" s="76">
        <f>SUMIFS(BASE!$Q$3:$Q$453,BASE!$O$3:$O$453,Resumen!G$5,BASE!$B$3:$B$453,Resumen!$B11)</f>
        <v>0</v>
      </c>
      <c r="H11" s="76">
        <f>SUMIFS(BASE!$Q$3:$Q$453,BASE!$O$3:$O$453,Resumen!H$5,BASE!$B$3:$B$453,Resumen!$B11)</f>
        <v>0</v>
      </c>
      <c r="I11" s="76">
        <f>SUMIFS(BASE!$Q$3:$Q$453,BASE!$O$3:$O$453,Resumen!I$5,BASE!$B$3:$B$453,Resumen!$B11)</f>
        <v>0</v>
      </c>
      <c r="J11" s="76">
        <f>SUMIFS(BASE!$Q$3:$Q$453,BASE!$O$3:$O$453,Resumen!J$5,BASE!$B$3:$B$453,Resumen!$B11)</f>
        <v>0</v>
      </c>
      <c r="K11" s="76">
        <f>SUMIFS('Eventos B2B_MKT y Turnos DT'!$K$6:$K$456,'Eventos B2B_MKT y Turnos DT'!$D$6:$D$456,Resumen!$B11,'Eventos B2B_MKT y Turnos DT'!$G$6:$G$456,"B2B")</f>
        <v>0</v>
      </c>
      <c r="L11" s="76">
        <f>SUMIFS('Eventos B2B_MKT y Turnos DT'!$K$6:$K$456,'Eventos B2B_MKT y Turnos DT'!$D$6:$D$456,Resumen!$B11,'Eventos B2B_MKT y Turnos DT'!$G$6:$G$456,"Hotel")</f>
        <v>0</v>
      </c>
      <c r="M11" s="76">
        <f>SUMIFS('Eventos B2B_MKT y Turnos DT'!$K$6:$K$456,'Eventos B2B_MKT y Turnos DT'!$D$6:$D$456,Resumen!$B11,'Eventos B2B_MKT y Turnos DT'!$G$6:$G$456,"Marketing")</f>
        <v>0</v>
      </c>
      <c r="N11" s="76">
        <f>SUMIF(Incidencias!$E$4:$E$89,$B11,Incidencias!$K$4:$K$89)</f>
        <v>0</v>
      </c>
      <c r="O11" s="80">
        <f t="shared" si="2"/>
        <v>0</v>
      </c>
      <c r="P11" s="102">
        <v>112420</v>
      </c>
      <c r="Q11" s="102"/>
      <c r="R11" s="99">
        <f t="shared" si="5"/>
        <v>0</v>
      </c>
      <c r="S11" s="102">
        <f t="shared" si="3"/>
        <v>112420</v>
      </c>
      <c r="T11" s="89">
        <f t="shared" si="4"/>
        <v>0</v>
      </c>
      <c r="V11" s="132"/>
    </row>
    <row r="12" spans="2:23" ht="15" hidden="1">
      <c r="B12" s="74" t="str">
        <f>Nómina!D9</f>
        <v>26538149-9</v>
      </c>
      <c r="C12" s="75" t="str">
        <f>Nómina!E9</f>
        <v>ANGELO JESUS OLMOS DEL VALLE</v>
      </c>
      <c r="D12" s="76">
        <f>SUMIFS(BASE!$Q$3:$Q$453,BASE!$O$3:$O$453,Resumen!D$5,BASE!$B$3:$B$453,Resumen!$B12)</f>
        <v>0</v>
      </c>
      <c r="E12" s="76">
        <f>SUMIFS(BASE!$Q$3:$Q$453,BASE!$O$3:$O$453,Resumen!E$5,BASE!$B$3:$B$453,Resumen!$B12)</f>
        <v>0</v>
      </c>
      <c r="F12" s="76">
        <f>SUMIFS(BASE!$Q$3:$Q$453,BASE!$O$3:$O$453,Resumen!F$5,BASE!$B$3:$B$453,Resumen!$B12)</f>
        <v>0</v>
      </c>
      <c r="G12" s="76">
        <f>SUMIFS(BASE!$Q$3:$Q$453,BASE!$O$3:$O$453,Resumen!G$5,BASE!$B$3:$B$453,Resumen!$B12)</f>
        <v>0</v>
      </c>
      <c r="H12" s="76">
        <f>SUMIFS(BASE!$Q$3:$Q$453,BASE!$O$3:$O$453,Resumen!H$5,BASE!$B$3:$B$453,Resumen!$B12)</f>
        <v>0</v>
      </c>
      <c r="I12" s="76">
        <f>SUMIFS(BASE!$Q$3:$Q$453,BASE!$O$3:$O$453,Resumen!I$5,BASE!$B$3:$B$453,Resumen!$B12)</f>
        <v>0</v>
      </c>
      <c r="J12" s="76">
        <f>SUMIFS(BASE!$Q$3:$Q$453,BASE!$O$3:$O$453,Resumen!J$5,BASE!$B$3:$B$453,Resumen!$B12)</f>
        <v>0</v>
      </c>
      <c r="K12" s="76">
        <f>SUMIFS('Eventos B2B_MKT y Turnos DT'!$K$6:$K$456,'Eventos B2B_MKT y Turnos DT'!$D$6:$D$456,Resumen!$B12,'Eventos B2B_MKT y Turnos DT'!$G$6:$G$456,"B2B")</f>
        <v>0</v>
      </c>
      <c r="L12" s="76">
        <f>SUMIFS('Eventos B2B_MKT y Turnos DT'!$K$6:$K$456,'Eventos B2B_MKT y Turnos DT'!$D$6:$D$456,Resumen!$B12,'Eventos B2B_MKT y Turnos DT'!$G$6:$G$456,"Hotel")</f>
        <v>0</v>
      </c>
      <c r="M12" s="76">
        <f>SUMIFS('Eventos B2B_MKT y Turnos DT'!$K$6:$K$456,'Eventos B2B_MKT y Turnos DT'!$D$6:$D$456,Resumen!$B12,'Eventos B2B_MKT y Turnos DT'!$G$6:$G$456,"Marketing")</f>
        <v>0</v>
      </c>
      <c r="N12" s="76">
        <f>SUMIF(Incidencias!$E$4:$E$89,$B12,Incidencias!$K$4:$K$89)</f>
        <v>0</v>
      </c>
      <c r="O12" s="80">
        <f t="shared" si="2"/>
        <v>0</v>
      </c>
      <c r="P12" s="102">
        <v>48500</v>
      </c>
      <c r="Q12" s="102">
        <v>9500</v>
      </c>
      <c r="R12" s="99">
        <f>IFERROR(Q12/O12,0)</f>
        <v>0</v>
      </c>
      <c r="S12" s="102">
        <f t="shared" si="3"/>
        <v>39000</v>
      </c>
      <c r="T12" s="89">
        <f t="shared" si="4"/>
        <v>-9500</v>
      </c>
      <c r="U12" s="122" t="str">
        <f>+IF(O12*(1-0.1525)-Q12=T12,"OK","REVISAR")</f>
        <v>OK</v>
      </c>
      <c r="V12" s="132"/>
    </row>
    <row r="13" spans="2:23" hidden="1">
      <c r="B13" s="74" t="str">
        <f>Nómina!D10</f>
        <v>26920431-1</v>
      </c>
      <c r="C13" s="75" t="str">
        <f>Nómina!E10</f>
        <v>ARLIDIS MARIA SANCHEZ CAMACHO</v>
      </c>
      <c r="D13" s="76">
        <f>SUMIFS(BASE!$Q$3:$Q$453,BASE!$O$3:$O$453,Resumen!D$5,BASE!$B$3:$B$453,Resumen!$B13)</f>
        <v>0</v>
      </c>
      <c r="E13" s="76">
        <f>SUMIFS(BASE!$Q$3:$Q$453,BASE!$O$3:$O$453,Resumen!E$5,BASE!$B$3:$B$453,Resumen!$B13)</f>
        <v>0</v>
      </c>
      <c r="F13" s="76">
        <f>SUMIFS(BASE!$Q$3:$Q$453,BASE!$O$3:$O$453,Resumen!F$5,BASE!$B$3:$B$453,Resumen!$B13)</f>
        <v>0</v>
      </c>
      <c r="G13" s="76">
        <f>SUMIFS(BASE!$Q$3:$Q$453,BASE!$O$3:$O$453,Resumen!G$5,BASE!$B$3:$B$453,Resumen!$B13)</f>
        <v>0</v>
      </c>
      <c r="H13" s="76">
        <f>SUMIFS(BASE!$Q$3:$Q$453,BASE!$O$3:$O$453,Resumen!H$5,BASE!$B$3:$B$453,Resumen!$B13)</f>
        <v>0</v>
      </c>
      <c r="I13" s="76">
        <f>SUMIFS(BASE!$Q$3:$Q$453,BASE!$O$3:$O$453,Resumen!I$5,BASE!$B$3:$B$453,Resumen!$B13)</f>
        <v>0</v>
      </c>
      <c r="J13" s="76">
        <f>SUMIFS(BASE!$Q$3:$Q$453,BASE!$O$3:$O$453,Resumen!J$5,BASE!$B$3:$B$453,Resumen!$B13)</f>
        <v>0</v>
      </c>
      <c r="K13" s="76">
        <f>SUMIFS('Eventos B2B_MKT y Turnos DT'!$K$6:$K$456,'Eventos B2B_MKT y Turnos DT'!$D$6:$D$456,Resumen!$B13,'Eventos B2B_MKT y Turnos DT'!$G$6:$G$456,"B2B")</f>
        <v>0</v>
      </c>
      <c r="L13" s="76">
        <f>SUMIFS('Eventos B2B_MKT y Turnos DT'!$K$6:$K$456,'Eventos B2B_MKT y Turnos DT'!$D$6:$D$456,Resumen!$B13,'Eventos B2B_MKT y Turnos DT'!$G$6:$G$456,"Hotel")</f>
        <v>0</v>
      </c>
      <c r="M13" s="76">
        <f>SUMIFS('Eventos B2B_MKT y Turnos DT'!$K$6:$K$456,'Eventos B2B_MKT y Turnos DT'!$D$6:$D$456,Resumen!$B13,'Eventos B2B_MKT y Turnos DT'!$G$6:$G$456,"Marketing")</f>
        <v>0</v>
      </c>
      <c r="N13" s="76">
        <f>SUMIF(Incidencias!$E$4:$E$89,$B13,Incidencias!$K$4:$K$89)</f>
        <v>0</v>
      </c>
      <c r="O13" s="80">
        <f t="shared" si="2"/>
        <v>0</v>
      </c>
      <c r="P13" s="102">
        <v>58473</v>
      </c>
      <c r="Q13" s="102"/>
      <c r="R13" s="99">
        <f t="shared" si="5"/>
        <v>0</v>
      </c>
      <c r="S13" s="102">
        <f t="shared" si="3"/>
        <v>58473</v>
      </c>
      <c r="T13" s="89">
        <f t="shared" si="4"/>
        <v>0</v>
      </c>
      <c r="V13" s="132"/>
    </row>
    <row r="14" spans="2:23" ht="15">
      <c r="B14" s="74" t="str">
        <f>Nómina!D11</f>
        <v>16586101-9</v>
      </c>
      <c r="C14" s="75" t="str">
        <f>Nómina!E11</f>
        <v>BETTINA GAJARDO</v>
      </c>
      <c r="D14" s="76">
        <f>SUMIFS(BASE!$Q$3:$Q$453,BASE!$O$3:$O$453,Resumen!D$5,BASE!$B$3:$B$453,Resumen!$B14)</f>
        <v>0</v>
      </c>
      <c r="E14" s="76">
        <f>SUMIFS(BASE!$Q$3:$Q$453,BASE!$O$3:$O$453,Resumen!E$5,BASE!$B$3:$B$453,Resumen!$B14)</f>
        <v>0</v>
      </c>
      <c r="F14" s="76">
        <f>SUMIFS(BASE!$Q$3:$Q$453,BASE!$O$3:$O$453,Resumen!F$5,BASE!$B$3:$B$453,Resumen!$B14)</f>
        <v>0</v>
      </c>
      <c r="G14" s="76">
        <f>SUMIFS(BASE!$Q$3:$Q$453,BASE!$O$3:$O$453,Resumen!G$5,BASE!$B$3:$B$453,Resumen!$B14)</f>
        <v>0</v>
      </c>
      <c r="H14" s="76">
        <f>SUMIFS(BASE!$Q$3:$Q$453,BASE!$O$3:$O$453,Resumen!H$5,BASE!$B$3:$B$453,Resumen!$B14)</f>
        <v>0</v>
      </c>
      <c r="I14" s="76">
        <f>SUMIFS(BASE!$Q$3:$Q$453,BASE!$O$3:$O$453,Resumen!I$5,BASE!$B$3:$B$453,Resumen!$B14)</f>
        <v>22689</v>
      </c>
      <c r="J14" s="76">
        <f>SUMIFS(BASE!$Q$3:$Q$453,BASE!$O$3:$O$453,Resumen!J$5,BASE!$B$3:$B$453,Resumen!$B14)</f>
        <v>0</v>
      </c>
      <c r="K14" s="76">
        <f>SUMIFS('Eventos B2B_MKT y Turnos DT'!$K$6:$K$456,'Eventos B2B_MKT y Turnos DT'!$D$6:$D$456,Resumen!$B14,'Eventos B2B_MKT y Turnos DT'!$G$6:$G$456,"B2B")</f>
        <v>0</v>
      </c>
      <c r="L14" s="76">
        <f>SUMIFS('Eventos B2B_MKT y Turnos DT'!$K$6:$K$456,'Eventos B2B_MKT y Turnos DT'!$D$6:$D$456,Resumen!$B14,'Eventos B2B_MKT y Turnos DT'!$G$6:$G$456,"Hotel")</f>
        <v>0</v>
      </c>
      <c r="M14" s="76">
        <f>SUMIFS('Eventos B2B_MKT y Turnos DT'!$K$6:$K$456,'Eventos B2B_MKT y Turnos DT'!$D$6:$D$456,Resumen!$B14,'Eventos B2B_MKT y Turnos DT'!$G$6:$G$456,"Marketing")</f>
        <v>0</v>
      </c>
      <c r="N14" s="76">
        <f>SUMIF(Incidencias!$E$4:$E$89,$B14,Incidencias!$K$4:$K$89)</f>
        <v>0</v>
      </c>
      <c r="O14" s="80">
        <f t="shared" si="2"/>
        <v>22689</v>
      </c>
      <c r="P14" s="102">
        <v>0</v>
      </c>
      <c r="Q14" s="102">
        <f>+IF(AND(P14&lt;&gt;0,P14&gt;O14*0.2),O14*0.2,P14)</f>
        <v>0</v>
      </c>
      <c r="R14" s="99">
        <f t="shared" si="5"/>
        <v>0</v>
      </c>
      <c r="S14" s="102">
        <f t="shared" si="3"/>
        <v>0</v>
      </c>
      <c r="T14" s="89">
        <f t="shared" si="4"/>
        <v>19228.927500000002</v>
      </c>
      <c r="U14" s="122" t="str">
        <f t="shared" ref="U14:U16" si="6">+IF(O14*(1-0.1525)-Q14=T14,"OK","REVISAR")</f>
        <v>OK</v>
      </c>
      <c r="V14" s="132"/>
      <c r="W14" s="132"/>
    </row>
    <row r="15" spans="2:23" ht="15" hidden="1">
      <c r="B15" s="74" t="str">
        <f>Nómina!D12</f>
        <v>16910373-9</v>
      </c>
      <c r="C15" s="75" t="str">
        <f>Nómina!E12</f>
        <v>CAMILA ANDREA VILLASECA AZOCAR</v>
      </c>
      <c r="D15" s="76">
        <f>SUMIFS(BASE!$Q$3:$Q$453,BASE!$O$3:$O$453,Resumen!D$5,BASE!$B$3:$B$453,Resumen!$B15)</f>
        <v>0</v>
      </c>
      <c r="E15" s="76">
        <f>SUMIFS(BASE!$Q$3:$Q$453,BASE!$O$3:$O$453,Resumen!E$5,BASE!$B$3:$B$453,Resumen!$B15)</f>
        <v>0</v>
      </c>
      <c r="F15" s="76">
        <f>SUMIFS(BASE!$Q$3:$Q$453,BASE!$O$3:$O$453,Resumen!F$5,BASE!$B$3:$B$453,Resumen!$B15)</f>
        <v>0</v>
      </c>
      <c r="G15" s="76">
        <f>SUMIFS(BASE!$Q$3:$Q$453,BASE!$O$3:$O$453,Resumen!G$5,BASE!$B$3:$B$453,Resumen!$B15)</f>
        <v>0</v>
      </c>
      <c r="H15" s="76">
        <f>SUMIFS(BASE!$Q$3:$Q$453,BASE!$O$3:$O$453,Resumen!H$5,BASE!$B$3:$B$453,Resumen!$B15)</f>
        <v>0</v>
      </c>
      <c r="I15" s="76">
        <f>SUMIFS(BASE!$Q$3:$Q$453,BASE!$O$3:$O$453,Resumen!I$5,BASE!$B$3:$B$453,Resumen!$B15)</f>
        <v>0</v>
      </c>
      <c r="J15" s="76">
        <f>SUMIFS(BASE!$Q$3:$Q$453,BASE!$O$3:$O$453,Resumen!J$5,BASE!$B$3:$B$453,Resumen!$B15)</f>
        <v>0</v>
      </c>
      <c r="K15" s="76">
        <f>SUMIFS('Eventos B2B_MKT y Turnos DT'!$K$6:$K$456,'Eventos B2B_MKT y Turnos DT'!$D$6:$D$456,Resumen!$B15,'Eventos B2B_MKT y Turnos DT'!$G$6:$G$456,"B2B")</f>
        <v>0</v>
      </c>
      <c r="L15" s="76">
        <f>SUMIFS('Eventos B2B_MKT y Turnos DT'!$K$6:$K$456,'Eventos B2B_MKT y Turnos DT'!$D$6:$D$456,Resumen!$B15,'Eventos B2B_MKT y Turnos DT'!$G$6:$G$456,"Hotel")</f>
        <v>0</v>
      </c>
      <c r="M15" s="76">
        <f>SUMIFS('Eventos B2B_MKT y Turnos DT'!$K$6:$K$456,'Eventos B2B_MKT y Turnos DT'!$D$6:$D$456,Resumen!$B15,'Eventos B2B_MKT y Turnos DT'!$G$6:$G$456,"Marketing")</f>
        <v>0</v>
      </c>
      <c r="N15" s="76">
        <f>SUMIF(Incidencias!$E$4:$E$89,$B15,Incidencias!$K$4:$K$89)</f>
        <v>0</v>
      </c>
      <c r="O15" s="80">
        <f t="shared" si="2"/>
        <v>0</v>
      </c>
      <c r="P15" s="102">
        <v>97999.697478991598</v>
      </c>
      <c r="Q15" s="102">
        <v>19106</v>
      </c>
      <c r="R15" s="99">
        <f t="shared" si="5"/>
        <v>0</v>
      </c>
      <c r="S15" s="102">
        <f t="shared" si="3"/>
        <v>78893.697478991598</v>
      </c>
      <c r="T15" s="89">
        <f t="shared" si="4"/>
        <v>-19106</v>
      </c>
      <c r="U15" s="122" t="str">
        <f t="shared" si="6"/>
        <v>OK</v>
      </c>
      <c r="V15" s="132"/>
      <c r="W15" s="132"/>
    </row>
    <row r="16" spans="2:23" ht="15" hidden="1">
      <c r="B16" s="74" t="str">
        <f>Nómina!D13</f>
        <v>17326936-6</v>
      </c>
      <c r="C16" s="75" t="str">
        <f>Nómina!E13</f>
        <v>CAMILO LOPEZ OMINAMI  </v>
      </c>
      <c r="D16" s="76">
        <f>SUMIFS(BASE!$Q$3:$Q$453,BASE!$O$3:$O$453,Resumen!D$5,BASE!$B$3:$B$453,Resumen!$B16)</f>
        <v>0</v>
      </c>
      <c r="E16" s="76">
        <f>SUMIFS(BASE!$Q$3:$Q$453,BASE!$O$3:$O$453,Resumen!E$5,BASE!$B$3:$B$453,Resumen!$B16)</f>
        <v>0</v>
      </c>
      <c r="F16" s="76">
        <f>SUMIFS(BASE!$Q$3:$Q$453,BASE!$O$3:$O$453,Resumen!F$5,BASE!$B$3:$B$453,Resumen!$B16)</f>
        <v>0</v>
      </c>
      <c r="G16" s="76">
        <f>SUMIFS(BASE!$Q$3:$Q$453,BASE!$O$3:$O$453,Resumen!G$5,BASE!$B$3:$B$453,Resumen!$B16)</f>
        <v>0</v>
      </c>
      <c r="H16" s="76">
        <f>SUMIFS(BASE!$Q$3:$Q$453,BASE!$O$3:$O$453,Resumen!H$5,BASE!$B$3:$B$453,Resumen!$B16)</f>
        <v>0</v>
      </c>
      <c r="I16" s="76">
        <f>SUMIFS(BASE!$Q$3:$Q$453,BASE!$O$3:$O$453,Resumen!I$5,BASE!$B$3:$B$453,Resumen!$B16)</f>
        <v>0</v>
      </c>
      <c r="J16" s="76">
        <f>SUMIFS(BASE!$Q$3:$Q$453,BASE!$O$3:$O$453,Resumen!J$5,BASE!$B$3:$B$453,Resumen!$B16)</f>
        <v>0</v>
      </c>
      <c r="K16" s="76">
        <f>SUMIFS('Eventos B2B_MKT y Turnos DT'!$K$6:$K$456,'Eventos B2B_MKT y Turnos DT'!$D$6:$D$456,Resumen!$B16,'Eventos B2B_MKT y Turnos DT'!$G$6:$G$456,"B2B")</f>
        <v>0</v>
      </c>
      <c r="L16" s="76">
        <f>SUMIFS('Eventos B2B_MKT y Turnos DT'!$K$6:$K$456,'Eventos B2B_MKT y Turnos DT'!$D$6:$D$456,Resumen!$B16,'Eventos B2B_MKT y Turnos DT'!$G$6:$G$456,"Hotel")</f>
        <v>0</v>
      </c>
      <c r="M16" s="76">
        <f>SUMIFS('Eventos B2B_MKT y Turnos DT'!$K$6:$K$456,'Eventos B2B_MKT y Turnos DT'!$D$6:$D$456,Resumen!$B16,'Eventos B2B_MKT y Turnos DT'!$G$6:$G$456,"Marketing")</f>
        <v>0</v>
      </c>
      <c r="N16" s="76">
        <f>SUMIF(Incidencias!$E$4:$E$89,$B16,Incidencias!$K$4:$K$89)</f>
        <v>0</v>
      </c>
      <c r="O16" s="80">
        <f t="shared" si="2"/>
        <v>0</v>
      </c>
      <c r="P16" s="102">
        <v>4.9960036108132044E-16</v>
      </c>
      <c r="Q16" s="102">
        <f>+IF(AND(P16&lt;&gt;0,P16&gt;O16*0.2),O16*0.2,P16)</f>
        <v>0</v>
      </c>
      <c r="R16" s="99">
        <f t="shared" si="5"/>
        <v>0</v>
      </c>
      <c r="S16" s="102">
        <f t="shared" si="3"/>
        <v>4.9960036108132044E-16</v>
      </c>
      <c r="T16" s="89">
        <f t="shared" si="4"/>
        <v>0</v>
      </c>
      <c r="U16" s="122" t="str">
        <f t="shared" si="6"/>
        <v>OK</v>
      </c>
      <c r="V16" s="132"/>
    </row>
    <row r="17" spans="2:23" hidden="1">
      <c r="B17" s="74" t="str">
        <f>Nómina!D14</f>
        <v>21870821-8</v>
      </c>
      <c r="C17" s="75" t="str">
        <f>Nómina!E14</f>
        <v>CARLA IRELA CARMONA ARTURO  </v>
      </c>
      <c r="D17" s="76">
        <f>SUMIFS(BASE!$Q$3:$Q$453,BASE!$O$3:$O$453,Resumen!D$5,BASE!$B$3:$B$453,Resumen!$B17)</f>
        <v>0</v>
      </c>
      <c r="E17" s="76">
        <f>SUMIFS(BASE!$Q$3:$Q$453,BASE!$O$3:$O$453,Resumen!E$5,BASE!$B$3:$B$453,Resumen!$B17)</f>
        <v>0</v>
      </c>
      <c r="F17" s="76">
        <f>SUMIFS(BASE!$Q$3:$Q$453,BASE!$O$3:$O$453,Resumen!F$5,BASE!$B$3:$B$453,Resumen!$B17)</f>
        <v>0</v>
      </c>
      <c r="G17" s="76">
        <f>SUMIFS(BASE!$Q$3:$Q$453,BASE!$O$3:$O$453,Resumen!G$5,BASE!$B$3:$B$453,Resumen!$B17)</f>
        <v>0</v>
      </c>
      <c r="H17" s="76">
        <f>SUMIFS(BASE!$Q$3:$Q$453,BASE!$O$3:$O$453,Resumen!H$5,BASE!$B$3:$B$453,Resumen!$B17)</f>
        <v>0</v>
      </c>
      <c r="I17" s="76">
        <f>SUMIFS(BASE!$Q$3:$Q$453,BASE!$O$3:$O$453,Resumen!I$5,BASE!$B$3:$B$453,Resumen!$B17)</f>
        <v>0</v>
      </c>
      <c r="J17" s="76">
        <f>SUMIFS(BASE!$Q$3:$Q$453,BASE!$O$3:$O$453,Resumen!J$5,BASE!$B$3:$B$453,Resumen!$B17)</f>
        <v>0</v>
      </c>
      <c r="K17" s="76">
        <f>SUMIFS('Eventos B2B_MKT y Turnos DT'!$K$6:$K$456,'Eventos B2B_MKT y Turnos DT'!$D$6:$D$456,Resumen!$B17,'Eventos B2B_MKT y Turnos DT'!$G$6:$G$456,"B2B")</f>
        <v>0</v>
      </c>
      <c r="L17" s="76">
        <f>SUMIFS('Eventos B2B_MKT y Turnos DT'!$K$6:$K$456,'Eventos B2B_MKT y Turnos DT'!$D$6:$D$456,Resumen!$B17,'Eventos B2B_MKT y Turnos DT'!$G$6:$G$456,"Hotel")</f>
        <v>0</v>
      </c>
      <c r="M17" s="76">
        <f>SUMIFS('Eventos B2B_MKT y Turnos DT'!$K$6:$K$456,'Eventos B2B_MKT y Turnos DT'!$D$6:$D$456,Resumen!$B17,'Eventos B2B_MKT y Turnos DT'!$G$6:$G$456,"Marketing")</f>
        <v>0</v>
      </c>
      <c r="N17" s="76">
        <f>SUMIF(Incidencias!$E$4:$E$89,$B17,Incidencias!$K$4:$K$89)</f>
        <v>0</v>
      </c>
      <c r="O17" s="80">
        <f t="shared" si="2"/>
        <v>0</v>
      </c>
      <c r="P17" s="102">
        <v>136000.02857142853</v>
      </c>
      <c r="Q17" s="102"/>
      <c r="R17" s="99">
        <f t="shared" si="5"/>
        <v>0</v>
      </c>
      <c r="S17" s="102">
        <f t="shared" si="3"/>
        <v>136000.02857142853</v>
      </c>
      <c r="T17" s="89">
        <f t="shared" si="4"/>
        <v>0</v>
      </c>
      <c r="V17" s="132"/>
    </row>
    <row r="18" spans="2:23" hidden="1">
      <c r="B18" s="74" t="str">
        <f>Nómina!D15</f>
        <v>17664480-K</v>
      </c>
      <c r="C18" s="75" t="str">
        <f>Nómina!E15</f>
        <v>CARLA VERGARA FUENZALIDA</v>
      </c>
      <c r="D18" s="76">
        <f>SUMIFS(BASE!$Q$3:$Q$453,BASE!$O$3:$O$453,Resumen!D$5,BASE!$B$3:$B$453,Resumen!$B18)</f>
        <v>0</v>
      </c>
      <c r="E18" s="76">
        <f>SUMIFS(BASE!$Q$3:$Q$453,BASE!$O$3:$O$453,Resumen!E$5,BASE!$B$3:$B$453,Resumen!$B18)</f>
        <v>0</v>
      </c>
      <c r="F18" s="76">
        <f>SUMIFS(BASE!$Q$3:$Q$453,BASE!$O$3:$O$453,Resumen!F$5,BASE!$B$3:$B$453,Resumen!$B18)</f>
        <v>0</v>
      </c>
      <c r="G18" s="76">
        <f>SUMIFS(BASE!$Q$3:$Q$453,BASE!$O$3:$O$453,Resumen!G$5,BASE!$B$3:$B$453,Resumen!$B18)</f>
        <v>0</v>
      </c>
      <c r="H18" s="76">
        <f>SUMIFS(BASE!$Q$3:$Q$453,BASE!$O$3:$O$453,Resumen!H$5,BASE!$B$3:$B$453,Resumen!$B18)</f>
        <v>0</v>
      </c>
      <c r="I18" s="76">
        <f>SUMIFS(BASE!$Q$3:$Q$453,BASE!$O$3:$O$453,Resumen!I$5,BASE!$B$3:$B$453,Resumen!$B18)</f>
        <v>0</v>
      </c>
      <c r="J18" s="76">
        <f>SUMIFS(BASE!$Q$3:$Q$453,BASE!$O$3:$O$453,Resumen!J$5,BASE!$B$3:$B$453,Resumen!$B18)</f>
        <v>0</v>
      </c>
      <c r="K18" s="76">
        <f>SUMIFS('Eventos B2B_MKT y Turnos DT'!$K$6:$K$456,'Eventos B2B_MKT y Turnos DT'!$D$6:$D$456,Resumen!$B18,'Eventos B2B_MKT y Turnos DT'!$G$6:$G$456,"B2B")</f>
        <v>0</v>
      </c>
      <c r="L18" s="76">
        <f>SUMIFS('Eventos B2B_MKT y Turnos DT'!$K$6:$K$456,'Eventos B2B_MKT y Turnos DT'!$D$6:$D$456,Resumen!$B18,'Eventos B2B_MKT y Turnos DT'!$G$6:$G$456,"Hotel")</f>
        <v>0</v>
      </c>
      <c r="M18" s="76">
        <f>SUMIFS('Eventos B2B_MKT y Turnos DT'!$K$6:$K$456,'Eventos B2B_MKT y Turnos DT'!$D$6:$D$456,Resumen!$B18,'Eventos B2B_MKT y Turnos DT'!$G$6:$G$456,"Marketing")</f>
        <v>0</v>
      </c>
      <c r="N18" s="76">
        <f>SUMIF(Incidencias!$E$4:$E$89,$B18,Incidencias!$K$4:$K$89)</f>
        <v>0</v>
      </c>
      <c r="O18" s="80">
        <f t="shared" si="2"/>
        <v>0</v>
      </c>
      <c r="P18" s="102">
        <v>90000</v>
      </c>
      <c r="Q18" s="102"/>
      <c r="R18" s="99">
        <f t="shared" si="5"/>
        <v>0</v>
      </c>
      <c r="S18" s="102">
        <f t="shared" si="3"/>
        <v>90000</v>
      </c>
      <c r="T18" s="89">
        <f t="shared" si="4"/>
        <v>0</v>
      </c>
      <c r="V18" s="132"/>
    </row>
    <row r="19" spans="2:23" hidden="1">
      <c r="B19" s="74" t="str">
        <f>Nómina!D16</f>
        <v>18444844-0</v>
      </c>
      <c r="C19" s="75" t="str">
        <f>Nómina!E16</f>
        <v>CARMEN GLORIA ADARO CARTAGENA</v>
      </c>
      <c r="D19" s="76">
        <f>SUMIFS(BASE!$Q$3:$Q$453,BASE!$O$3:$O$453,Resumen!D$5,BASE!$B$3:$B$453,Resumen!$B19)</f>
        <v>0</v>
      </c>
      <c r="E19" s="76">
        <f>SUMIFS(BASE!$Q$3:$Q$453,BASE!$O$3:$O$453,Resumen!E$5,BASE!$B$3:$B$453,Resumen!$B19)</f>
        <v>0</v>
      </c>
      <c r="F19" s="76">
        <f>SUMIFS(BASE!$Q$3:$Q$453,BASE!$O$3:$O$453,Resumen!F$5,BASE!$B$3:$B$453,Resumen!$B19)</f>
        <v>0</v>
      </c>
      <c r="G19" s="76">
        <f>SUMIFS(BASE!$Q$3:$Q$453,BASE!$O$3:$O$453,Resumen!G$5,BASE!$B$3:$B$453,Resumen!$B19)</f>
        <v>0</v>
      </c>
      <c r="H19" s="76">
        <f>SUMIFS(BASE!$Q$3:$Q$453,BASE!$O$3:$O$453,Resumen!H$5,BASE!$B$3:$B$453,Resumen!$B19)</f>
        <v>0</v>
      </c>
      <c r="I19" s="76">
        <f>SUMIFS(BASE!$Q$3:$Q$453,BASE!$O$3:$O$453,Resumen!I$5,BASE!$B$3:$B$453,Resumen!$B19)</f>
        <v>0</v>
      </c>
      <c r="J19" s="76">
        <f>SUMIFS(BASE!$Q$3:$Q$453,BASE!$O$3:$O$453,Resumen!J$5,BASE!$B$3:$B$453,Resumen!$B19)</f>
        <v>0</v>
      </c>
      <c r="K19" s="76">
        <f>SUMIFS('Eventos B2B_MKT y Turnos DT'!$K$6:$K$456,'Eventos B2B_MKT y Turnos DT'!$D$6:$D$456,Resumen!$B19,'Eventos B2B_MKT y Turnos DT'!$G$6:$G$456,"B2B")</f>
        <v>0</v>
      </c>
      <c r="L19" s="76">
        <f>SUMIFS('Eventos B2B_MKT y Turnos DT'!$K$6:$K$456,'Eventos B2B_MKT y Turnos DT'!$D$6:$D$456,Resumen!$B19,'Eventos B2B_MKT y Turnos DT'!$G$6:$G$456,"Hotel")</f>
        <v>0</v>
      </c>
      <c r="M19" s="76">
        <f>SUMIFS('Eventos B2B_MKT y Turnos DT'!$K$6:$K$456,'Eventos B2B_MKT y Turnos DT'!$D$6:$D$456,Resumen!$B19,'Eventos B2B_MKT y Turnos DT'!$G$6:$G$456,"Marketing")</f>
        <v>0</v>
      </c>
      <c r="N19" s="76">
        <f>SUMIF(Incidencias!$E$4:$E$89,$B19,Incidencias!$K$4:$K$89)</f>
        <v>0</v>
      </c>
      <c r="O19" s="80">
        <f t="shared" si="2"/>
        <v>0</v>
      </c>
      <c r="P19" s="102">
        <v>133390</v>
      </c>
      <c r="Q19" s="102"/>
      <c r="R19" s="99">
        <f t="shared" si="5"/>
        <v>0</v>
      </c>
      <c r="S19" s="102">
        <f t="shared" si="3"/>
        <v>133390</v>
      </c>
      <c r="T19" s="89">
        <f t="shared" si="4"/>
        <v>0</v>
      </c>
      <c r="V19" s="132"/>
    </row>
    <row r="20" spans="2:23" ht="15" hidden="1">
      <c r="B20" s="74" t="str">
        <f>Nómina!D17</f>
        <v>11229241-1</v>
      </c>
      <c r="C20" s="75" t="str">
        <f>Nómina!E17</f>
        <v>CARMEN GLORIA TAPIA MORA</v>
      </c>
      <c r="D20" s="76">
        <f>SUMIFS(BASE!$Q$3:$Q$453,BASE!$O$3:$O$453,Resumen!D$5,BASE!$B$3:$B$453,Resumen!$B20)</f>
        <v>0</v>
      </c>
      <c r="E20" s="76">
        <f>SUMIFS(BASE!$Q$3:$Q$453,BASE!$O$3:$O$453,Resumen!E$5,BASE!$B$3:$B$453,Resumen!$B20)</f>
        <v>0</v>
      </c>
      <c r="F20" s="76">
        <f>SUMIFS(BASE!$Q$3:$Q$453,BASE!$O$3:$O$453,Resumen!F$5,BASE!$B$3:$B$453,Resumen!$B20)</f>
        <v>0</v>
      </c>
      <c r="G20" s="76">
        <f>SUMIFS(BASE!$Q$3:$Q$453,BASE!$O$3:$O$453,Resumen!G$5,BASE!$B$3:$B$453,Resumen!$B20)</f>
        <v>0</v>
      </c>
      <c r="H20" s="76">
        <f>SUMIFS(BASE!$Q$3:$Q$453,BASE!$O$3:$O$453,Resumen!H$5,BASE!$B$3:$B$453,Resumen!$B20)</f>
        <v>0</v>
      </c>
      <c r="I20" s="76">
        <f>SUMIFS(BASE!$Q$3:$Q$453,BASE!$O$3:$O$453,Resumen!I$5,BASE!$B$3:$B$453,Resumen!$B20)</f>
        <v>0</v>
      </c>
      <c r="J20" s="76">
        <f>SUMIFS(BASE!$Q$3:$Q$453,BASE!$O$3:$O$453,Resumen!J$5,BASE!$B$3:$B$453,Resumen!$B20)</f>
        <v>0</v>
      </c>
      <c r="K20" s="76">
        <f>SUMIFS('Eventos B2B_MKT y Turnos DT'!$K$6:$K$456,'Eventos B2B_MKT y Turnos DT'!$D$6:$D$456,Resumen!$B20,'Eventos B2B_MKT y Turnos DT'!$G$6:$G$456,"B2B")</f>
        <v>0</v>
      </c>
      <c r="L20" s="76">
        <f>SUMIFS('Eventos B2B_MKT y Turnos DT'!$K$6:$K$456,'Eventos B2B_MKT y Turnos DT'!$D$6:$D$456,Resumen!$B20,'Eventos B2B_MKT y Turnos DT'!$G$6:$G$456,"Hotel")</f>
        <v>0</v>
      </c>
      <c r="M20" s="76">
        <f>SUMIFS('Eventos B2B_MKT y Turnos DT'!$K$6:$K$456,'Eventos B2B_MKT y Turnos DT'!$D$6:$D$456,Resumen!$B20,'Eventos B2B_MKT y Turnos DT'!$G$6:$G$456,"Marketing")</f>
        <v>0</v>
      </c>
      <c r="N20" s="76">
        <f>SUMIF(Incidencias!$E$4:$E$89,$B20,Incidencias!$K$4:$K$89)</f>
        <v>0</v>
      </c>
      <c r="O20" s="80">
        <f t="shared" si="2"/>
        <v>0</v>
      </c>
      <c r="P20" s="102">
        <v>29499</v>
      </c>
      <c r="Q20" s="102"/>
      <c r="R20" s="99">
        <f t="shared" si="5"/>
        <v>0</v>
      </c>
      <c r="S20" s="102">
        <f t="shared" si="3"/>
        <v>29499</v>
      </c>
      <c r="T20" s="89">
        <f t="shared" si="4"/>
        <v>0</v>
      </c>
      <c r="U20" s="122" t="str">
        <f>+IF(O20*(1-0.1525)-Q20=T20,"OK","REVISAR")</f>
        <v>OK</v>
      </c>
      <c r="V20" s="132"/>
    </row>
    <row r="21" spans="2:23" hidden="1">
      <c r="B21" s="74" t="str">
        <f>Nómina!D18</f>
        <v>18268581-K</v>
      </c>
      <c r="C21" s="75" t="str">
        <f>Nómina!E18</f>
        <v>CAROLINA ANDREA BUSTOS PONCE</v>
      </c>
      <c r="D21" s="76">
        <f>SUMIFS(BASE!$Q$3:$Q$453,BASE!$O$3:$O$453,Resumen!D$5,BASE!$B$3:$B$453,Resumen!$B21)</f>
        <v>0</v>
      </c>
      <c r="E21" s="76">
        <f>SUMIFS(BASE!$Q$3:$Q$453,BASE!$O$3:$O$453,Resumen!E$5,BASE!$B$3:$B$453,Resumen!$B21)</f>
        <v>0</v>
      </c>
      <c r="F21" s="76">
        <f>SUMIFS(BASE!$Q$3:$Q$453,BASE!$O$3:$O$453,Resumen!F$5,BASE!$B$3:$B$453,Resumen!$B21)</f>
        <v>0</v>
      </c>
      <c r="G21" s="76">
        <f>SUMIFS(BASE!$Q$3:$Q$453,BASE!$O$3:$O$453,Resumen!G$5,BASE!$B$3:$B$453,Resumen!$B21)</f>
        <v>0</v>
      </c>
      <c r="H21" s="76">
        <f>SUMIFS(BASE!$Q$3:$Q$453,BASE!$O$3:$O$453,Resumen!H$5,BASE!$B$3:$B$453,Resumen!$B21)</f>
        <v>0</v>
      </c>
      <c r="I21" s="76">
        <f>SUMIFS(BASE!$Q$3:$Q$453,BASE!$O$3:$O$453,Resumen!I$5,BASE!$B$3:$B$453,Resumen!$B21)</f>
        <v>0</v>
      </c>
      <c r="J21" s="76">
        <f>SUMIFS(BASE!$Q$3:$Q$453,BASE!$O$3:$O$453,Resumen!J$5,BASE!$B$3:$B$453,Resumen!$B21)</f>
        <v>0</v>
      </c>
      <c r="K21" s="76">
        <f>SUMIFS('Eventos B2B_MKT y Turnos DT'!$K$6:$K$456,'Eventos B2B_MKT y Turnos DT'!$D$6:$D$456,Resumen!$B21,'Eventos B2B_MKT y Turnos DT'!$G$6:$G$456,"B2B")</f>
        <v>0</v>
      </c>
      <c r="L21" s="76">
        <f>SUMIFS('Eventos B2B_MKT y Turnos DT'!$K$6:$K$456,'Eventos B2B_MKT y Turnos DT'!$D$6:$D$456,Resumen!$B21,'Eventos B2B_MKT y Turnos DT'!$G$6:$G$456,"Hotel")</f>
        <v>0</v>
      </c>
      <c r="M21" s="76">
        <f>SUMIFS('Eventos B2B_MKT y Turnos DT'!$K$6:$K$456,'Eventos B2B_MKT y Turnos DT'!$D$6:$D$456,Resumen!$B21,'Eventos B2B_MKT y Turnos DT'!$G$6:$G$456,"Marketing")</f>
        <v>0</v>
      </c>
      <c r="N21" s="76">
        <f>SUMIF(Incidencias!$E$4:$E$89,$B21,Incidencias!$K$4:$K$89)</f>
        <v>0</v>
      </c>
      <c r="O21" s="80">
        <f t="shared" si="2"/>
        <v>0</v>
      </c>
      <c r="P21" s="102">
        <v>84000</v>
      </c>
      <c r="Q21" s="102"/>
      <c r="R21" s="99">
        <f t="shared" si="5"/>
        <v>0</v>
      </c>
      <c r="S21" s="102">
        <f t="shared" si="3"/>
        <v>84000</v>
      </c>
      <c r="T21" s="89">
        <f t="shared" si="4"/>
        <v>0</v>
      </c>
      <c r="V21" s="132"/>
    </row>
    <row r="22" spans="2:23" ht="15" hidden="1">
      <c r="B22" s="74" t="str">
        <f>Nómina!D19</f>
        <v>12080901-6</v>
      </c>
      <c r="C22" s="75" t="str">
        <f>Nómina!E19</f>
        <v>CECILIA CARRAZANA</v>
      </c>
      <c r="D22" s="76">
        <f>SUMIFS(BASE!$Q$3:$Q$453,BASE!$O$3:$O$453,Resumen!D$5,BASE!$B$3:$B$453,Resumen!$B22)</f>
        <v>0</v>
      </c>
      <c r="E22" s="76">
        <f>SUMIFS(BASE!$Q$3:$Q$453,BASE!$O$3:$O$453,Resumen!E$5,BASE!$B$3:$B$453,Resumen!$B22)</f>
        <v>0</v>
      </c>
      <c r="F22" s="76">
        <f>SUMIFS(BASE!$Q$3:$Q$453,BASE!$O$3:$O$453,Resumen!F$5,BASE!$B$3:$B$453,Resumen!$B22)</f>
        <v>0</v>
      </c>
      <c r="G22" s="76">
        <f>SUMIFS(BASE!$Q$3:$Q$453,BASE!$O$3:$O$453,Resumen!G$5,BASE!$B$3:$B$453,Resumen!$B22)</f>
        <v>0</v>
      </c>
      <c r="H22" s="76">
        <f>SUMIFS(BASE!$Q$3:$Q$453,BASE!$O$3:$O$453,Resumen!H$5,BASE!$B$3:$B$453,Resumen!$B22)</f>
        <v>0</v>
      </c>
      <c r="I22" s="76">
        <f>SUMIFS(BASE!$Q$3:$Q$453,BASE!$O$3:$O$453,Resumen!I$5,BASE!$B$3:$B$453,Resumen!$B22)</f>
        <v>0</v>
      </c>
      <c r="J22" s="76">
        <f>SUMIFS(BASE!$Q$3:$Q$453,BASE!$O$3:$O$453,Resumen!J$5,BASE!$B$3:$B$453,Resumen!$B22)</f>
        <v>0</v>
      </c>
      <c r="K22" s="76">
        <f>SUMIFS('Eventos B2B_MKT y Turnos DT'!$K$6:$K$456,'Eventos B2B_MKT y Turnos DT'!$D$6:$D$456,Resumen!$B22,'Eventos B2B_MKT y Turnos DT'!$G$6:$G$456,"B2B")</f>
        <v>0</v>
      </c>
      <c r="L22" s="76">
        <f>SUMIFS('Eventos B2B_MKT y Turnos DT'!$K$6:$K$456,'Eventos B2B_MKT y Turnos DT'!$D$6:$D$456,Resumen!$B22,'Eventos B2B_MKT y Turnos DT'!$G$6:$G$456,"Hotel")</f>
        <v>0</v>
      </c>
      <c r="M22" s="76">
        <f>SUMIFS('Eventos B2B_MKT y Turnos DT'!$K$6:$K$456,'Eventos B2B_MKT y Turnos DT'!$D$6:$D$456,Resumen!$B22,'Eventos B2B_MKT y Turnos DT'!$G$6:$G$456,"Marketing")</f>
        <v>0</v>
      </c>
      <c r="N22" s="76">
        <f>SUMIF(Incidencias!$E$4:$E$89,$B22,Incidencias!$K$4:$K$89)</f>
        <v>0</v>
      </c>
      <c r="O22" s="80">
        <f t="shared" si="2"/>
        <v>0</v>
      </c>
      <c r="P22" s="102">
        <v>84000</v>
      </c>
      <c r="Q22" s="102">
        <v>6000</v>
      </c>
      <c r="R22" s="99">
        <f t="shared" si="5"/>
        <v>0</v>
      </c>
      <c r="S22" s="102">
        <f t="shared" si="3"/>
        <v>78000</v>
      </c>
      <c r="T22" s="89">
        <f t="shared" si="4"/>
        <v>-6000</v>
      </c>
      <c r="U22" s="122" t="str">
        <f t="shared" ref="U22:U23" si="7">+IF(O22*(1-0.1525)-Q22=T22,"OK","REVISAR")</f>
        <v>OK</v>
      </c>
      <c r="V22" s="132"/>
      <c r="W22" s="132"/>
    </row>
    <row r="23" spans="2:23" ht="15">
      <c r="B23" s="74" t="str">
        <f>Nómina!D20</f>
        <v>15353076-9</v>
      </c>
      <c r="C23" s="75" t="str">
        <f>Nómina!E20</f>
        <v>CLAUDIA ALEJANDRA GUZMAN RIGORDI</v>
      </c>
      <c r="D23" s="76">
        <f>SUMIFS(BASE!$Q$3:$Q$453,BASE!$O$3:$O$453,Resumen!D$5,BASE!$B$3:$B$453,Resumen!$B23)</f>
        <v>99831</v>
      </c>
      <c r="E23" s="76">
        <f>SUMIFS(BASE!$Q$3:$Q$453,BASE!$O$3:$O$453,Resumen!E$5,BASE!$B$3:$B$453,Resumen!$B23)</f>
        <v>0</v>
      </c>
      <c r="F23" s="76">
        <f>SUMIFS(BASE!$Q$3:$Q$453,BASE!$O$3:$O$453,Resumen!F$5,BASE!$B$3:$B$453,Resumen!$B23)</f>
        <v>0</v>
      </c>
      <c r="G23" s="76">
        <f>SUMIFS(BASE!$Q$3:$Q$453,BASE!$O$3:$O$453,Resumen!G$5,BASE!$B$3:$B$453,Resumen!$B23)</f>
        <v>0</v>
      </c>
      <c r="H23" s="76">
        <f>SUMIFS(BASE!$Q$3:$Q$453,BASE!$O$3:$O$453,Resumen!H$5,BASE!$B$3:$B$453,Resumen!$B23)</f>
        <v>0</v>
      </c>
      <c r="I23" s="76">
        <f>SUMIFS(BASE!$Q$3:$Q$453,BASE!$O$3:$O$453,Resumen!I$5,BASE!$B$3:$B$453,Resumen!$B23)</f>
        <v>0</v>
      </c>
      <c r="J23" s="76">
        <f>SUMIFS(BASE!$Q$3:$Q$453,BASE!$O$3:$O$453,Resumen!J$5,BASE!$B$3:$B$453,Resumen!$B23)</f>
        <v>0</v>
      </c>
      <c r="K23" s="76">
        <f>SUMIFS('Eventos B2B_MKT y Turnos DT'!$K$6:$K$456,'Eventos B2B_MKT y Turnos DT'!$D$6:$D$456,Resumen!$B23,'Eventos B2B_MKT y Turnos DT'!$G$6:$G$456,"B2B")</f>
        <v>0</v>
      </c>
      <c r="L23" s="76">
        <f>SUMIFS('Eventos B2B_MKT y Turnos DT'!$K$6:$K$456,'Eventos B2B_MKT y Turnos DT'!$D$6:$D$456,Resumen!$B23,'Eventos B2B_MKT y Turnos DT'!$G$6:$G$456,"Hotel")</f>
        <v>0</v>
      </c>
      <c r="M23" s="76">
        <f>SUMIFS('Eventos B2B_MKT y Turnos DT'!$K$6:$K$456,'Eventos B2B_MKT y Turnos DT'!$D$6:$D$456,Resumen!$B23,'Eventos B2B_MKT y Turnos DT'!$G$6:$G$456,"Marketing")</f>
        <v>0</v>
      </c>
      <c r="N23" s="76">
        <f>SUMIF(Incidencias!$E$4:$E$89,$B23,Incidencias!$K$4:$K$89)</f>
        <v>0</v>
      </c>
      <c r="O23" s="80">
        <f t="shared" si="2"/>
        <v>99831</v>
      </c>
      <c r="P23" s="102">
        <v>0</v>
      </c>
      <c r="Q23" s="102">
        <f>+IF(AND(P23&lt;&gt;0,P23&gt;O23*0.2),O23*0.2,P23)</f>
        <v>0</v>
      </c>
      <c r="R23" s="99">
        <f t="shared" si="5"/>
        <v>0</v>
      </c>
      <c r="S23" s="102">
        <f t="shared" si="3"/>
        <v>0</v>
      </c>
      <c r="T23" s="89">
        <f t="shared" si="4"/>
        <v>84606.772500000006</v>
      </c>
      <c r="U23" s="122" t="str">
        <f t="shared" si="7"/>
        <v>OK</v>
      </c>
      <c r="V23" s="132"/>
    </row>
    <row r="24" spans="2:23" ht="15" hidden="1">
      <c r="B24" s="74" t="str">
        <f>Nómina!D21</f>
        <v>16725537-K</v>
      </c>
      <c r="C24" s="75" t="str">
        <f>Nómina!E21</f>
        <v>CLAUDIA ANDREA LEYTON FREDES</v>
      </c>
      <c r="D24" s="76">
        <f>SUMIFS(BASE!$Q$3:$Q$453,BASE!$O$3:$O$453,Resumen!D$5,BASE!$B$3:$B$453,Resumen!$B24)</f>
        <v>0</v>
      </c>
      <c r="E24" s="76">
        <f>SUMIFS(BASE!$Q$3:$Q$453,BASE!$O$3:$O$453,Resumen!E$5,BASE!$B$3:$B$453,Resumen!$B24)</f>
        <v>0</v>
      </c>
      <c r="F24" s="76">
        <f>SUMIFS(BASE!$Q$3:$Q$453,BASE!$O$3:$O$453,Resumen!F$5,BASE!$B$3:$B$453,Resumen!$B24)</f>
        <v>0</v>
      </c>
      <c r="G24" s="76">
        <f>SUMIFS(BASE!$Q$3:$Q$453,BASE!$O$3:$O$453,Resumen!G$5,BASE!$B$3:$B$453,Resumen!$B24)</f>
        <v>0</v>
      </c>
      <c r="H24" s="76">
        <f>SUMIFS(BASE!$Q$3:$Q$453,BASE!$O$3:$O$453,Resumen!H$5,BASE!$B$3:$B$453,Resumen!$B24)</f>
        <v>0</v>
      </c>
      <c r="I24" s="76">
        <f>SUMIFS(BASE!$Q$3:$Q$453,BASE!$O$3:$O$453,Resumen!I$5,BASE!$B$3:$B$453,Resumen!$B24)</f>
        <v>0</v>
      </c>
      <c r="J24" s="76">
        <f>SUMIFS(BASE!$Q$3:$Q$453,BASE!$O$3:$O$453,Resumen!J$5,BASE!$B$3:$B$453,Resumen!$B24)</f>
        <v>0</v>
      </c>
      <c r="K24" s="76">
        <f>SUMIFS('Eventos B2B_MKT y Turnos DT'!$K$6:$K$456,'Eventos B2B_MKT y Turnos DT'!$D$6:$D$456,Resumen!$B24,'Eventos B2B_MKT y Turnos DT'!$G$6:$G$456,"B2B")</f>
        <v>0</v>
      </c>
      <c r="L24" s="76">
        <f>SUMIFS('Eventos B2B_MKT y Turnos DT'!$K$6:$K$456,'Eventos B2B_MKT y Turnos DT'!$D$6:$D$456,Resumen!$B24,'Eventos B2B_MKT y Turnos DT'!$G$6:$G$456,"Hotel")</f>
        <v>0</v>
      </c>
      <c r="M24" s="76">
        <f>SUMIFS('Eventos B2B_MKT y Turnos DT'!$K$6:$K$456,'Eventos B2B_MKT y Turnos DT'!$D$6:$D$456,Resumen!$B24,'Eventos B2B_MKT y Turnos DT'!$G$6:$G$456,"Marketing")</f>
        <v>0</v>
      </c>
      <c r="N24" s="76">
        <f>SUMIF(Incidencias!$E$4:$E$89,$B24,Incidencias!$K$4:$K$89)</f>
        <v>0</v>
      </c>
      <c r="O24" s="80">
        <f t="shared" si="2"/>
        <v>0</v>
      </c>
      <c r="P24" s="102">
        <v>273000</v>
      </c>
      <c r="Q24" s="102"/>
      <c r="R24" s="99">
        <f t="shared" si="5"/>
        <v>0</v>
      </c>
      <c r="S24" s="102">
        <f t="shared" si="3"/>
        <v>273000</v>
      </c>
      <c r="T24" s="89">
        <f t="shared" si="4"/>
        <v>0</v>
      </c>
      <c r="U24" s="122" t="str">
        <f t="shared" ref="U24:U28" si="8">+IF(O24*(1-0.1525)-Q24=T24,"OK","REVISAR")</f>
        <v>OK</v>
      </c>
      <c r="V24" s="132"/>
      <c r="W24" s="132"/>
    </row>
    <row r="25" spans="2:23" ht="15">
      <c r="B25" s="74" t="str">
        <f>Nómina!D22</f>
        <v>13441148-1</v>
      </c>
      <c r="C25" s="75" t="str">
        <f>Nómina!E22</f>
        <v>CLAUDIA ESTRELLA ESPINOZA CANIUQUEO</v>
      </c>
      <c r="D25" s="76">
        <f>SUMIFS(BASE!$Q$3:$Q$453,BASE!$O$3:$O$453,Resumen!D$5,BASE!$B$3:$B$453,Resumen!$B25)</f>
        <v>65546</v>
      </c>
      <c r="E25" s="76">
        <f>SUMIFS(BASE!$Q$3:$Q$453,BASE!$O$3:$O$453,Resumen!E$5,BASE!$B$3:$B$453,Resumen!$B25)</f>
        <v>0</v>
      </c>
      <c r="F25" s="76">
        <f>SUMIFS(BASE!$Q$3:$Q$453,BASE!$O$3:$O$453,Resumen!F$5,BASE!$B$3:$B$453,Resumen!$B25)</f>
        <v>51428</v>
      </c>
      <c r="G25" s="76">
        <f>SUMIFS(BASE!$Q$3:$Q$453,BASE!$O$3:$O$453,Resumen!G$5,BASE!$B$3:$B$453,Resumen!$B25)</f>
        <v>0</v>
      </c>
      <c r="H25" s="76">
        <f>SUMIFS(BASE!$Q$3:$Q$453,BASE!$O$3:$O$453,Resumen!H$5,BASE!$B$3:$B$453,Resumen!$B25)</f>
        <v>22689</v>
      </c>
      <c r="I25" s="76">
        <f>SUMIFS(BASE!$Q$3:$Q$453,BASE!$O$3:$O$453,Resumen!I$5,BASE!$B$3:$B$453,Resumen!$B25)</f>
        <v>0</v>
      </c>
      <c r="J25" s="76">
        <f>SUMIFS(BASE!$Q$3:$Q$453,BASE!$O$3:$O$453,Resumen!J$5,BASE!$B$3:$B$453,Resumen!$B25)</f>
        <v>0</v>
      </c>
      <c r="K25" s="76">
        <f>SUMIFS('Eventos B2B_MKT y Turnos DT'!$K$6:$K$456,'Eventos B2B_MKT y Turnos DT'!$D$6:$D$456,Resumen!$B25,'Eventos B2B_MKT y Turnos DT'!$G$6:$G$456,"B2B")</f>
        <v>106639</v>
      </c>
      <c r="L25" s="76">
        <f>SUMIFS('Eventos B2B_MKT y Turnos DT'!$K$6:$K$456,'Eventos B2B_MKT y Turnos DT'!$D$6:$D$456,Resumen!$B25,'Eventos B2B_MKT y Turnos DT'!$G$6:$G$456,"Hotel")</f>
        <v>23392</v>
      </c>
      <c r="M25" s="76">
        <f>SUMIFS('Eventos B2B_MKT y Turnos DT'!$K$6:$K$456,'Eventos B2B_MKT y Turnos DT'!$D$6:$D$456,Resumen!$B25,'Eventos B2B_MKT y Turnos DT'!$G$6:$G$456,"Marketing")</f>
        <v>0</v>
      </c>
      <c r="N25" s="76">
        <f>SUMIF(Incidencias!$E$4:$E$89,$B25,Incidencias!$K$4:$K$89)</f>
        <v>0</v>
      </c>
      <c r="O25" s="80">
        <f t="shared" si="2"/>
        <v>269694</v>
      </c>
      <c r="P25" s="102">
        <v>0</v>
      </c>
      <c r="Q25" s="102">
        <f t="shared" ref="Q25:Q26" si="9">+IF(AND(P25&lt;&gt;0,P25&gt;O25*0.2),O25*0.2,P25)</f>
        <v>0</v>
      </c>
      <c r="R25" s="99">
        <f t="shared" si="5"/>
        <v>0</v>
      </c>
      <c r="S25" s="102">
        <f t="shared" si="3"/>
        <v>0</v>
      </c>
      <c r="T25" s="89">
        <f t="shared" si="4"/>
        <v>228565.66500000001</v>
      </c>
      <c r="U25" s="122" t="str">
        <f t="shared" si="8"/>
        <v>OK</v>
      </c>
      <c r="V25" s="132"/>
      <c r="W25" s="132"/>
    </row>
    <row r="26" spans="2:23" ht="15">
      <c r="B26" s="74" t="str">
        <f>Nómina!D23</f>
        <v>23098075-6</v>
      </c>
      <c r="C26" s="75" t="str">
        <f>Nómina!E23</f>
        <v>CLAUDIA MARIA HERNANDEZ CONTRERAS</v>
      </c>
      <c r="D26" s="76">
        <f>SUMIFS(BASE!$Q$3:$Q$453,BASE!$O$3:$O$453,Resumen!D$5,BASE!$B$3:$B$453,Resumen!$B26)</f>
        <v>22689</v>
      </c>
      <c r="E26" s="76">
        <f>SUMIFS(BASE!$Q$3:$Q$453,BASE!$O$3:$O$453,Resumen!E$5,BASE!$B$3:$B$453,Resumen!$B26)</f>
        <v>0</v>
      </c>
      <c r="F26" s="76">
        <f>SUMIFS(BASE!$Q$3:$Q$453,BASE!$O$3:$O$453,Resumen!F$5,BASE!$B$3:$B$453,Resumen!$B26)</f>
        <v>0</v>
      </c>
      <c r="G26" s="76">
        <f>SUMIFS(BASE!$Q$3:$Q$453,BASE!$O$3:$O$453,Resumen!G$5,BASE!$B$3:$B$453,Resumen!$B26)</f>
        <v>0</v>
      </c>
      <c r="H26" s="76">
        <f>SUMIFS(BASE!$Q$3:$Q$453,BASE!$O$3:$O$453,Resumen!H$5,BASE!$B$3:$B$453,Resumen!$B26)</f>
        <v>0</v>
      </c>
      <c r="I26" s="76">
        <f>SUMIFS(BASE!$Q$3:$Q$453,BASE!$O$3:$O$453,Resumen!I$5,BASE!$B$3:$B$453,Resumen!$B26)</f>
        <v>0</v>
      </c>
      <c r="J26" s="76">
        <f>SUMIFS(BASE!$Q$3:$Q$453,BASE!$O$3:$O$453,Resumen!J$5,BASE!$B$3:$B$453,Resumen!$B26)</f>
        <v>0</v>
      </c>
      <c r="K26" s="76">
        <f>SUMIFS('Eventos B2B_MKT y Turnos DT'!$K$6:$K$456,'Eventos B2B_MKT y Turnos DT'!$D$6:$D$456,Resumen!$B26,'Eventos B2B_MKT y Turnos DT'!$G$6:$G$456,"B2B")</f>
        <v>0</v>
      </c>
      <c r="L26" s="76">
        <f>SUMIFS('Eventos B2B_MKT y Turnos DT'!$K$6:$K$456,'Eventos B2B_MKT y Turnos DT'!$D$6:$D$456,Resumen!$B26,'Eventos B2B_MKT y Turnos DT'!$G$6:$G$456,"Hotel")</f>
        <v>0</v>
      </c>
      <c r="M26" s="76">
        <f>SUMIFS('Eventos B2B_MKT y Turnos DT'!$K$6:$K$456,'Eventos B2B_MKT y Turnos DT'!$D$6:$D$456,Resumen!$B26,'Eventos B2B_MKT y Turnos DT'!$G$6:$G$456,"Marketing")</f>
        <v>0</v>
      </c>
      <c r="N26" s="76">
        <f>SUMIF(Incidencias!$E$4:$E$89,$B26,Incidencias!$K$4:$K$89)</f>
        <v>0</v>
      </c>
      <c r="O26" s="80">
        <f t="shared" si="2"/>
        <v>22689</v>
      </c>
      <c r="P26" s="102">
        <v>0</v>
      </c>
      <c r="Q26" s="102">
        <f t="shared" si="9"/>
        <v>0</v>
      </c>
      <c r="R26" s="99">
        <f t="shared" si="5"/>
        <v>0</v>
      </c>
      <c r="S26" s="102">
        <f>IFERROR(P26-Q26,"")</f>
        <v>0</v>
      </c>
      <c r="T26" s="89">
        <f t="shared" si="4"/>
        <v>19228.927500000002</v>
      </c>
      <c r="U26" s="122" t="str">
        <f t="shared" si="8"/>
        <v>OK</v>
      </c>
      <c r="V26" s="132"/>
    </row>
    <row r="27" spans="2:23" ht="15" hidden="1">
      <c r="B27" s="74" t="str">
        <f>Nómina!D24</f>
        <v>24560038-0</v>
      </c>
      <c r="C27" s="75" t="str">
        <f>Nómina!E24</f>
        <v>CLAUDIA MILENA DUQUE RAMIREZ  </v>
      </c>
      <c r="D27" s="76">
        <f>SUMIFS(BASE!$Q$3:$Q$453,BASE!$O$3:$O$453,Resumen!D$5,BASE!$B$3:$B$453,Resumen!$B27)</f>
        <v>0</v>
      </c>
      <c r="E27" s="76">
        <f>SUMIFS(BASE!$Q$3:$Q$453,BASE!$O$3:$O$453,Resumen!E$5,BASE!$B$3:$B$453,Resumen!$B27)</f>
        <v>0</v>
      </c>
      <c r="F27" s="76">
        <f>SUMIFS(BASE!$Q$3:$Q$453,BASE!$O$3:$O$453,Resumen!F$5,BASE!$B$3:$B$453,Resumen!$B27)</f>
        <v>0</v>
      </c>
      <c r="G27" s="76">
        <f>SUMIFS(BASE!$Q$3:$Q$453,BASE!$O$3:$O$453,Resumen!G$5,BASE!$B$3:$B$453,Resumen!$B27)</f>
        <v>0</v>
      </c>
      <c r="H27" s="76">
        <f>SUMIFS(BASE!$Q$3:$Q$453,BASE!$O$3:$O$453,Resumen!H$5,BASE!$B$3:$B$453,Resumen!$B27)</f>
        <v>0</v>
      </c>
      <c r="I27" s="76">
        <f>SUMIFS(BASE!$Q$3:$Q$453,BASE!$O$3:$O$453,Resumen!I$5,BASE!$B$3:$B$453,Resumen!$B27)</f>
        <v>0</v>
      </c>
      <c r="J27" s="76">
        <f>SUMIFS(BASE!$Q$3:$Q$453,BASE!$O$3:$O$453,Resumen!J$5,BASE!$B$3:$B$453,Resumen!$B27)</f>
        <v>0</v>
      </c>
      <c r="K27" s="76">
        <f>SUMIFS('Eventos B2B_MKT y Turnos DT'!$K$6:$K$456,'Eventos B2B_MKT y Turnos DT'!$D$6:$D$456,Resumen!$B27,'Eventos B2B_MKT y Turnos DT'!$G$6:$G$456,"B2B")</f>
        <v>0</v>
      </c>
      <c r="L27" s="76">
        <f>SUMIFS('Eventos B2B_MKT y Turnos DT'!$K$6:$K$456,'Eventos B2B_MKT y Turnos DT'!$D$6:$D$456,Resumen!$B27,'Eventos B2B_MKT y Turnos DT'!$G$6:$G$456,"Hotel")</f>
        <v>0</v>
      </c>
      <c r="M27" s="76">
        <f>SUMIFS('Eventos B2B_MKT y Turnos DT'!$K$6:$K$456,'Eventos B2B_MKT y Turnos DT'!$D$6:$D$456,Resumen!$B27,'Eventos B2B_MKT y Turnos DT'!$G$6:$G$456,"Marketing")</f>
        <v>0</v>
      </c>
      <c r="N27" s="76">
        <f>SUMIF(Incidencias!$E$4:$E$89,$B27,Incidencias!$K$4:$K$89)</f>
        <v>0</v>
      </c>
      <c r="O27" s="80">
        <f t="shared" si="2"/>
        <v>0</v>
      </c>
      <c r="P27" s="102">
        <v>34499.589915966382</v>
      </c>
      <c r="Q27" s="102"/>
      <c r="R27" s="99">
        <f t="shared" si="5"/>
        <v>0</v>
      </c>
      <c r="S27" s="102">
        <f t="shared" si="3"/>
        <v>34499.589915966382</v>
      </c>
      <c r="T27" s="89">
        <f t="shared" si="4"/>
        <v>0</v>
      </c>
      <c r="U27" s="122" t="str">
        <f t="shared" si="8"/>
        <v>OK</v>
      </c>
      <c r="V27" s="132"/>
      <c r="W27" s="132"/>
    </row>
    <row r="28" spans="2:23" ht="15" hidden="1">
      <c r="B28" s="74" t="str">
        <f>Nómina!D25</f>
        <v>19585499-8</v>
      </c>
      <c r="C28" s="75" t="str">
        <f>Nómina!E25</f>
        <v>DANIEL ABRAHAM ISAAC PEÑA HERNANDEZ</v>
      </c>
      <c r="D28" s="76">
        <f>SUMIFS(BASE!$Q$3:$Q$453,BASE!$O$3:$O$453,Resumen!D$5,BASE!$B$3:$B$453,Resumen!$B28)</f>
        <v>0</v>
      </c>
      <c r="E28" s="76">
        <f>SUMIFS(BASE!$Q$3:$Q$453,BASE!$O$3:$O$453,Resumen!E$5,BASE!$B$3:$B$453,Resumen!$B28)</f>
        <v>0</v>
      </c>
      <c r="F28" s="76">
        <f>SUMIFS(BASE!$Q$3:$Q$453,BASE!$O$3:$O$453,Resumen!F$5,BASE!$B$3:$B$453,Resumen!$B28)</f>
        <v>0</v>
      </c>
      <c r="G28" s="76">
        <f>SUMIFS(BASE!$Q$3:$Q$453,BASE!$O$3:$O$453,Resumen!G$5,BASE!$B$3:$B$453,Resumen!$B28)</f>
        <v>0</v>
      </c>
      <c r="H28" s="76">
        <f>SUMIFS(BASE!$Q$3:$Q$453,BASE!$O$3:$O$453,Resumen!H$5,BASE!$B$3:$B$453,Resumen!$B28)</f>
        <v>0</v>
      </c>
      <c r="I28" s="76">
        <f>SUMIFS(BASE!$Q$3:$Q$453,BASE!$O$3:$O$453,Resumen!I$5,BASE!$B$3:$B$453,Resumen!$B28)</f>
        <v>0</v>
      </c>
      <c r="J28" s="76">
        <f>SUMIFS(BASE!$Q$3:$Q$453,BASE!$O$3:$O$453,Resumen!J$5,BASE!$B$3:$B$453,Resumen!$B28)</f>
        <v>0</v>
      </c>
      <c r="K28" s="76">
        <f>SUMIFS('Eventos B2B_MKT y Turnos DT'!$K$6:$K$456,'Eventos B2B_MKT y Turnos DT'!$D$6:$D$456,Resumen!$B28,'Eventos B2B_MKT y Turnos DT'!$G$6:$G$456,"B2B")</f>
        <v>0</v>
      </c>
      <c r="L28" s="76">
        <f>SUMIFS('Eventos B2B_MKT y Turnos DT'!$K$6:$K$456,'Eventos B2B_MKT y Turnos DT'!$D$6:$D$456,Resumen!$B28,'Eventos B2B_MKT y Turnos DT'!$G$6:$G$456,"Hotel")</f>
        <v>0</v>
      </c>
      <c r="M28" s="76">
        <f>SUMIFS('Eventos B2B_MKT y Turnos DT'!$K$6:$K$456,'Eventos B2B_MKT y Turnos DT'!$D$6:$D$456,Resumen!$B28,'Eventos B2B_MKT y Turnos DT'!$G$6:$G$456,"Marketing")</f>
        <v>0</v>
      </c>
      <c r="N28" s="76">
        <f>SUMIF(Incidencias!$E$4:$E$89,$B28,Incidencias!$K$4:$K$89)</f>
        <v>0</v>
      </c>
      <c r="O28" s="80">
        <f t="shared" si="2"/>
        <v>0</v>
      </c>
      <c r="P28" s="102">
        <v>0</v>
      </c>
      <c r="Q28" s="102">
        <f t="shared" ref="Q28" si="10">+IF(AND(P28&lt;&gt;0,P28&gt;O28*0.2),O28*0.2,P28)</f>
        <v>0</v>
      </c>
      <c r="R28" s="99">
        <f t="shared" si="5"/>
        <v>0</v>
      </c>
      <c r="S28" s="102">
        <f t="shared" si="3"/>
        <v>0</v>
      </c>
      <c r="T28" s="89">
        <f t="shared" si="4"/>
        <v>0</v>
      </c>
      <c r="U28" s="122" t="str">
        <f t="shared" si="8"/>
        <v>OK</v>
      </c>
      <c r="V28" s="132"/>
      <c r="W28" s="132"/>
    </row>
    <row r="29" spans="2:23" ht="15">
      <c r="B29" s="74" t="str">
        <f>Nómina!D26</f>
        <v>15893769-7</v>
      </c>
      <c r="C29" s="75" t="str">
        <f>Nómina!E26</f>
        <v>DANIELA ANTONIA ALARCON ELIZALDE</v>
      </c>
      <c r="D29" s="76">
        <f>SUMIFS(BASE!$Q$3:$Q$453,BASE!$O$3:$O$453,Resumen!D$5,BASE!$B$3:$B$453,Resumen!$B29)</f>
        <v>182176</v>
      </c>
      <c r="E29" s="76">
        <f>SUMIFS(BASE!$Q$3:$Q$453,BASE!$O$3:$O$453,Resumen!E$5,BASE!$B$3:$B$453,Resumen!$B29)</f>
        <v>0</v>
      </c>
      <c r="F29" s="76">
        <f>SUMIFS(BASE!$Q$3:$Q$453,BASE!$O$3:$O$453,Resumen!F$5,BASE!$B$3:$B$453,Resumen!$B29)</f>
        <v>0</v>
      </c>
      <c r="G29" s="76">
        <f>SUMIFS(BASE!$Q$3:$Q$453,BASE!$O$3:$O$453,Resumen!G$5,BASE!$B$3:$B$453,Resumen!$B29)</f>
        <v>0</v>
      </c>
      <c r="H29" s="76">
        <f>SUMIFS(BASE!$Q$3:$Q$453,BASE!$O$3:$O$453,Resumen!H$5,BASE!$B$3:$B$453,Resumen!$B29)</f>
        <v>0</v>
      </c>
      <c r="I29" s="76">
        <f>SUMIFS(BASE!$Q$3:$Q$453,BASE!$O$3:$O$453,Resumen!I$5,BASE!$B$3:$B$453,Resumen!$B29)</f>
        <v>22689</v>
      </c>
      <c r="J29" s="76">
        <f>SUMIFS(BASE!$Q$3:$Q$453,BASE!$O$3:$O$453,Resumen!J$5,BASE!$B$3:$B$453,Resumen!$B29)</f>
        <v>0</v>
      </c>
      <c r="K29" s="76">
        <f>SUMIFS('Eventos B2B_MKT y Turnos DT'!$K$6:$K$456,'Eventos B2B_MKT y Turnos DT'!$D$6:$D$456,Resumen!$B29,'Eventos B2B_MKT y Turnos DT'!$G$6:$G$456,"B2B")</f>
        <v>0</v>
      </c>
      <c r="L29" s="76">
        <f>SUMIFS('Eventos B2B_MKT y Turnos DT'!$K$6:$K$456,'Eventos B2B_MKT y Turnos DT'!$D$6:$D$456,Resumen!$B29,'Eventos B2B_MKT y Turnos DT'!$G$6:$G$456,"Hotel")</f>
        <v>23392</v>
      </c>
      <c r="M29" s="76">
        <f>SUMIFS('Eventos B2B_MKT y Turnos DT'!$K$6:$K$456,'Eventos B2B_MKT y Turnos DT'!$D$6:$D$456,Resumen!$B29,'Eventos B2B_MKT y Turnos DT'!$G$6:$G$456,"Marketing")</f>
        <v>0</v>
      </c>
      <c r="N29" s="76">
        <f>SUMIF(Incidencias!$E$4:$E$89,$B29,Incidencias!$K$4:$K$89)</f>
        <v>0</v>
      </c>
      <c r="O29" s="80">
        <f t="shared" si="2"/>
        <v>228257</v>
      </c>
      <c r="P29" s="102">
        <v>0</v>
      </c>
      <c r="Q29" s="102">
        <f>+IF(AND(P29&lt;&gt;0,P29&gt;O29*0.2),O29*0.2,P29)</f>
        <v>0</v>
      </c>
      <c r="R29" s="99">
        <f t="shared" si="5"/>
        <v>0</v>
      </c>
      <c r="S29" s="102">
        <f t="shared" si="3"/>
        <v>0</v>
      </c>
      <c r="T29" s="89">
        <f t="shared" si="4"/>
        <v>193447.8075</v>
      </c>
      <c r="U29" s="122" t="str">
        <f>+IF(O29*(1-0.1525)-Q29=T29,"OK","REVISAR")</f>
        <v>OK</v>
      </c>
      <c r="V29" s="132"/>
    </row>
    <row r="30" spans="2:23" ht="15" hidden="1">
      <c r="B30" s="74" t="str">
        <f>Nómina!D27</f>
        <v>19948116-9</v>
      </c>
      <c r="C30" s="75" t="str">
        <f>Nómina!E27</f>
        <v>DANIELA MARIA VARAS DIAZ</v>
      </c>
      <c r="D30" s="76">
        <f>SUMIFS(BASE!$Q$3:$Q$453,BASE!$O$3:$O$453,Resumen!D$5,BASE!$B$3:$B$453,Resumen!$B30)</f>
        <v>0</v>
      </c>
      <c r="E30" s="76">
        <f>SUMIFS(BASE!$Q$3:$Q$453,BASE!$O$3:$O$453,Resumen!E$5,BASE!$B$3:$B$453,Resumen!$B30)</f>
        <v>0</v>
      </c>
      <c r="F30" s="76">
        <f>SUMIFS(BASE!$Q$3:$Q$453,BASE!$O$3:$O$453,Resumen!F$5,BASE!$B$3:$B$453,Resumen!$B30)</f>
        <v>0</v>
      </c>
      <c r="G30" s="76">
        <f>SUMIFS(BASE!$Q$3:$Q$453,BASE!$O$3:$O$453,Resumen!G$5,BASE!$B$3:$B$453,Resumen!$B30)</f>
        <v>0</v>
      </c>
      <c r="H30" s="76">
        <f>SUMIFS(BASE!$Q$3:$Q$453,BASE!$O$3:$O$453,Resumen!H$5,BASE!$B$3:$B$453,Resumen!$B30)</f>
        <v>0</v>
      </c>
      <c r="I30" s="76">
        <f>SUMIFS(BASE!$Q$3:$Q$453,BASE!$O$3:$O$453,Resumen!I$5,BASE!$B$3:$B$453,Resumen!$B30)</f>
        <v>0</v>
      </c>
      <c r="J30" s="76">
        <f>SUMIFS(BASE!$Q$3:$Q$453,BASE!$O$3:$O$453,Resumen!J$5,BASE!$B$3:$B$453,Resumen!$B30)</f>
        <v>0</v>
      </c>
      <c r="K30" s="76">
        <f>SUMIFS('Eventos B2B_MKT y Turnos DT'!$K$6:$K$456,'Eventos B2B_MKT y Turnos DT'!$D$6:$D$456,Resumen!$B30,'Eventos B2B_MKT y Turnos DT'!$G$6:$G$456,"B2B")</f>
        <v>0</v>
      </c>
      <c r="L30" s="76">
        <f>SUMIFS('Eventos B2B_MKT y Turnos DT'!$K$6:$K$456,'Eventos B2B_MKT y Turnos DT'!$D$6:$D$456,Resumen!$B30,'Eventos B2B_MKT y Turnos DT'!$G$6:$G$456,"Hotel")</f>
        <v>0</v>
      </c>
      <c r="M30" s="76">
        <f>SUMIFS('Eventos B2B_MKT y Turnos DT'!$K$6:$K$456,'Eventos B2B_MKT y Turnos DT'!$D$6:$D$456,Resumen!$B30,'Eventos B2B_MKT y Turnos DT'!$G$6:$G$456,"Marketing")</f>
        <v>0</v>
      </c>
      <c r="N30" s="76">
        <f>SUMIF(Incidencias!$E$4:$E$89,$B30,Incidencias!$K$4:$K$89)</f>
        <v>0</v>
      </c>
      <c r="O30" s="80">
        <f t="shared" si="2"/>
        <v>0</v>
      </c>
      <c r="P30" s="102">
        <v>61500</v>
      </c>
      <c r="Q30" s="102">
        <v>7500</v>
      </c>
      <c r="R30" s="99">
        <f t="shared" si="5"/>
        <v>0</v>
      </c>
      <c r="S30" s="102">
        <f t="shared" si="3"/>
        <v>54000</v>
      </c>
      <c r="T30" s="89">
        <f t="shared" si="4"/>
        <v>-7500</v>
      </c>
      <c r="U30" s="122" t="str">
        <f>+IF(O30*(1-0.1525)-Q30=T30,"OK","REVISAR")</f>
        <v>OK</v>
      </c>
      <c r="V30" s="132"/>
    </row>
    <row r="31" spans="2:23" hidden="1">
      <c r="B31" s="74" t="str">
        <f>Nómina!D28</f>
        <v>19668624-K</v>
      </c>
      <c r="C31" s="75" t="str">
        <f>Nómina!E28</f>
        <v>DIEGO JOSE GUERRERO ULLOA</v>
      </c>
      <c r="D31" s="76">
        <f>SUMIFS(BASE!$Q$3:$Q$453,BASE!$O$3:$O$453,Resumen!D$5,BASE!$B$3:$B$453,Resumen!$B31)</f>
        <v>0</v>
      </c>
      <c r="E31" s="76">
        <f>SUMIFS(BASE!$Q$3:$Q$453,BASE!$O$3:$O$453,Resumen!E$5,BASE!$B$3:$B$453,Resumen!$B31)</f>
        <v>0</v>
      </c>
      <c r="F31" s="76">
        <f>SUMIFS(BASE!$Q$3:$Q$453,BASE!$O$3:$O$453,Resumen!F$5,BASE!$B$3:$B$453,Resumen!$B31)</f>
        <v>0</v>
      </c>
      <c r="G31" s="76">
        <f>SUMIFS(BASE!$Q$3:$Q$453,BASE!$O$3:$O$453,Resumen!G$5,BASE!$B$3:$B$453,Resumen!$B31)</f>
        <v>0</v>
      </c>
      <c r="H31" s="76">
        <f>SUMIFS(BASE!$Q$3:$Q$453,BASE!$O$3:$O$453,Resumen!H$5,BASE!$B$3:$B$453,Resumen!$B31)</f>
        <v>0</v>
      </c>
      <c r="I31" s="76">
        <f>SUMIFS(BASE!$Q$3:$Q$453,BASE!$O$3:$O$453,Resumen!I$5,BASE!$B$3:$B$453,Resumen!$B31)</f>
        <v>0</v>
      </c>
      <c r="J31" s="76">
        <f>SUMIFS(BASE!$Q$3:$Q$453,BASE!$O$3:$O$453,Resumen!J$5,BASE!$B$3:$B$453,Resumen!$B31)</f>
        <v>0</v>
      </c>
      <c r="K31" s="76">
        <f>SUMIFS('Eventos B2B_MKT y Turnos DT'!$K$6:$K$456,'Eventos B2B_MKT y Turnos DT'!$D$6:$D$456,Resumen!$B31,'Eventos B2B_MKT y Turnos DT'!$G$6:$G$456,"B2B")</f>
        <v>0</v>
      </c>
      <c r="L31" s="76">
        <f>SUMIFS('Eventos B2B_MKT y Turnos DT'!$K$6:$K$456,'Eventos B2B_MKT y Turnos DT'!$D$6:$D$456,Resumen!$B31,'Eventos B2B_MKT y Turnos DT'!$G$6:$G$456,"Hotel")</f>
        <v>0</v>
      </c>
      <c r="M31" s="76">
        <f>SUMIFS('Eventos B2B_MKT y Turnos DT'!$K$6:$K$456,'Eventos B2B_MKT y Turnos DT'!$D$6:$D$456,Resumen!$B31,'Eventos B2B_MKT y Turnos DT'!$G$6:$G$456,"Marketing")</f>
        <v>0</v>
      </c>
      <c r="N31" s="76">
        <f>SUMIF(Incidencias!$E$4:$E$89,$B31,Incidencias!$K$4:$K$89)</f>
        <v>0</v>
      </c>
      <c r="O31" s="80">
        <f t="shared" si="2"/>
        <v>0</v>
      </c>
      <c r="P31" s="102">
        <v>0</v>
      </c>
      <c r="Q31" s="102"/>
      <c r="R31" s="99">
        <f t="shared" si="5"/>
        <v>0</v>
      </c>
      <c r="S31" s="102">
        <f t="shared" si="3"/>
        <v>0</v>
      </c>
      <c r="T31" s="89">
        <f t="shared" si="4"/>
        <v>0</v>
      </c>
      <c r="V31" s="132"/>
    </row>
    <row r="32" spans="2:23" hidden="1">
      <c r="B32" s="74" t="str">
        <f>Nómina!D29</f>
        <v>23785099-8</v>
      </c>
      <c r="C32" s="75" t="str">
        <f>Nómina!E29</f>
        <v>DIEGO TOBIAS CARDENAS GARCIA</v>
      </c>
      <c r="D32" s="76">
        <f>SUMIFS(BASE!$Q$3:$Q$453,BASE!$O$3:$O$453,Resumen!D$5,BASE!$B$3:$B$453,Resumen!$B32)</f>
        <v>0</v>
      </c>
      <c r="E32" s="76">
        <f>SUMIFS(BASE!$Q$3:$Q$453,BASE!$O$3:$O$453,Resumen!E$5,BASE!$B$3:$B$453,Resumen!$B32)</f>
        <v>0</v>
      </c>
      <c r="F32" s="76">
        <f>SUMIFS(BASE!$Q$3:$Q$453,BASE!$O$3:$O$453,Resumen!F$5,BASE!$B$3:$B$453,Resumen!$B32)</f>
        <v>0</v>
      </c>
      <c r="G32" s="76">
        <f>SUMIFS(BASE!$Q$3:$Q$453,BASE!$O$3:$O$453,Resumen!G$5,BASE!$B$3:$B$453,Resumen!$B32)</f>
        <v>0</v>
      </c>
      <c r="H32" s="76">
        <f>SUMIFS(BASE!$Q$3:$Q$453,BASE!$O$3:$O$453,Resumen!H$5,BASE!$B$3:$B$453,Resumen!$B32)</f>
        <v>0</v>
      </c>
      <c r="I32" s="76">
        <f>SUMIFS(BASE!$Q$3:$Q$453,BASE!$O$3:$O$453,Resumen!I$5,BASE!$B$3:$B$453,Resumen!$B32)</f>
        <v>0</v>
      </c>
      <c r="J32" s="76">
        <f>SUMIFS(BASE!$Q$3:$Q$453,BASE!$O$3:$O$453,Resumen!J$5,BASE!$B$3:$B$453,Resumen!$B32)</f>
        <v>0</v>
      </c>
      <c r="K32" s="76">
        <f>SUMIFS('Eventos B2B_MKT y Turnos DT'!$K$6:$K$456,'Eventos B2B_MKT y Turnos DT'!$D$6:$D$456,Resumen!$B32,'Eventos B2B_MKT y Turnos DT'!$G$6:$G$456,"B2B")</f>
        <v>0</v>
      </c>
      <c r="L32" s="76">
        <f>SUMIFS('Eventos B2B_MKT y Turnos DT'!$K$6:$K$456,'Eventos B2B_MKT y Turnos DT'!$D$6:$D$456,Resumen!$B32,'Eventos B2B_MKT y Turnos DT'!$G$6:$G$456,"Hotel")</f>
        <v>0</v>
      </c>
      <c r="M32" s="76">
        <f>SUMIFS('Eventos B2B_MKT y Turnos DT'!$K$6:$K$456,'Eventos B2B_MKT y Turnos DT'!$D$6:$D$456,Resumen!$B32,'Eventos B2B_MKT y Turnos DT'!$G$6:$G$456,"Marketing")</f>
        <v>0</v>
      </c>
      <c r="N32" s="76">
        <f>SUMIF(Incidencias!$E$4:$E$89,$B32,Incidencias!$K$4:$K$89)</f>
        <v>0</v>
      </c>
      <c r="O32" s="80">
        <f t="shared" si="2"/>
        <v>0</v>
      </c>
      <c r="P32" s="102">
        <v>113273</v>
      </c>
      <c r="Q32" s="102"/>
      <c r="R32" s="99">
        <f t="shared" si="5"/>
        <v>0</v>
      </c>
      <c r="S32" s="102">
        <f t="shared" si="3"/>
        <v>113273</v>
      </c>
      <c r="T32" s="89">
        <f t="shared" si="4"/>
        <v>0</v>
      </c>
      <c r="V32" s="132"/>
    </row>
    <row r="33" spans="2:23" ht="15" hidden="1">
      <c r="B33" s="74" t="str">
        <f>Nómina!D30</f>
        <v>15300506-0</v>
      </c>
      <c r="C33" s="75" t="str">
        <f>Nómina!E30</f>
        <v>DOMITILA DEL PILAR SERON ALMONACID</v>
      </c>
      <c r="D33" s="76">
        <f>SUMIFS(BASE!$Q$3:$Q$453,BASE!$O$3:$O$453,Resumen!D$5,BASE!$B$3:$B$453,Resumen!$B33)</f>
        <v>0</v>
      </c>
      <c r="E33" s="76">
        <f>SUMIFS(BASE!$Q$3:$Q$453,BASE!$O$3:$O$453,Resumen!E$5,BASE!$B$3:$B$453,Resumen!$B33)</f>
        <v>0</v>
      </c>
      <c r="F33" s="76">
        <f>SUMIFS(BASE!$Q$3:$Q$453,BASE!$O$3:$O$453,Resumen!F$5,BASE!$B$3:$B$453,Resumen!$B33)</f>
        <v>0</v>
      </c>
      <c r="G33" s="76">
        <f>SUMIFS(BASE!$Q$3:$Q$453,BASE!$O$3:$O$453,Resumen!G$5,BASE!$B$3:$B$453,Resumen!$B33)</f>
        <v>0</v>
      </c>
      <c r="H33" s="76">
        <f>SUMIFS(BASE!$Q$3:$Q$453,BASE!$O$3:$O$453,Resumen!H$5,BASE!$B$3:$B$453,Resumen!$B33)</f>
        <v>0</v>
      </c>
      <c r="I33" s="76">
        <f>SUMIFS(BASE!$Q$3:$Q$453,BASE!$O$3:$O$453,Resumen!I$5,BASE!$B$3:$B$453,Resumen!$B33)</f>
        <v>0</v>
      </c>
      <c r="J33" s="76">
        <f>SUMIFS(BASE!$Q$3:$Q$453,BASE!$O$3:$O$453,Resumen!J$5,BASE!$B$3:$B$453,Resumen!$B33)</f>
        <v>0</v>
      </c>
      <c r="K33" s="76">
        <f>SUMIFS('Eventos B2B_MKT y Turnos DT'!$K$6:$K$456,'Eventos B2B_MKT y Turnos DT'!$D$6:$D$456,Resumen!$B33,'Eventos B2B_MKT y Turnos DT'!$G$6:$G$456,"B2B")</f>
        <v>0</v>
      </c>
      <c r="L33" s="76">
        <f>SUMIFS('Eventos B2B_MKT y Turnos DT'!$K$6:$K$456,'Eventos B2B_MKT y Turnos DT'!$D$6:$D$456,Resumen!$B33,'Eventos B2B_MKT y Turnos DT'!$G$6:$G$456,"Hotel")</f>
        <v>0</v>
      </c>
      <c r="M33" s="76">
        <f>SUMIFS('Eventos B2B_MKT y Turnos DT'!$K$6:$K$456,'Eventos B2B_MKT y Turnos DT'!$D$6:$D$456,Resumen!$B33,'Eventos B2B_MKT y Turnos DT'!$G$6:$G$456,"Marketing")</f>
        <v>0</v>
      </c>
      <c r="N33" s="76">
        <f>SUMIF(Incidencias!$E$4:$E$89,$B33,Incidencias!$K$4:$K$89)</f>
        <v>0</v>
      </c>
      <c r="O33" s="80">
        <f t="shared" si="2"/>
        <v>0</v>
      </c>
      <c r="P33" s="102">
        <v>120773</v>
      </c>
      <c r="Q33" s="102"/>
      <c r="R33" s="99">
        <f t="shared" si="5"/>
        <v>0</v>
      </c>
      <c r="S33" s="102">
        <f t="shared" si="3"/>
        <v>120773</v>
      </c>
      <c r="T33" s="89">
        <f t="shared" si="4"/>
        <v>0</v>
      </c>
      <c r="U33" s="122" t="str">
        <f>+IF(O33*(1-0.1525)-Q33=T33,"OK","REVISAR")</f>
        <v>OK</v>
      </c>
      <c r="V33" s="132"/>
    </row>
    <row r="34" spans="2:23" hidden="1">
      <c r="B34" s="74" t="str">
        <f>Nómina!D31</f>
        <v>18531533-9</v>
      </c>
      <c r="C34" s="75" t="str">
        <f>Nómina!E31</f>
        <v>EDUARDO DE LA CUADRA PINO</v>
      </c>
      <c r="D34" s="76">
        <f>SUMIFS(BASE!$Q$3:$Q$453,BASE!$O$3:$O$453,Resumen!D$5,BASE!$B$3:$B$453,Resumen!$B34)</f>
        <v>0</v>
      </c>
      <c r="E34" s="76">
        <f>SUMIFS(BASE!$Q$3:$Q$453,BASE!$O$3:$O$453,Resumen!E$5,BASE!$B$3:$B$453,Resumen!$B34)</f>
        <v>0</v>
      </c>
      <c r="F34" s="76">
        <f>SUMIFS(BASE!$Q$3:$Q$453,BASE!$O$3:$O$453,Resumen!F$5,BASE!$B$3:$B$453,Resumen!$B34)</f>
        <v>0</v>
      </c>
      <c r="G34" s="76">
        <f>SUMIFS(BASE!$Q$3:$Q$453,BASE!$O$3:$O$453,Resumen!G$5,BASE!$B$3:$B$453,Resumen!$B34)</f>
        <v>0</v>
      </c>
      <c r="H34" s="76">
        <f>SUMIFS(BASE!$Q$3:$Q$453,BASE!$O$3:$O$453,Resumen!H$5,BASE!$B$3:$B$453,Resumen!$B34)</f>
        <v>0</v>
      </c>
      <c r="I34" s="76">
        <f>SUMIFS(BASE!$Q$3:$Q$453,BASE!$O$3:$O$453,Resumen!I$5,BASE!$B$3:$B$453,Resumen!$B34)</f>
        <v>0</v>
      </c>
      <c r="J34" s="76">
        <f>SUMIFS(BASE!$Q$3:$Q$453,BASE!$O$3:$O$453,Resumen!J$5,BASE!$B$3:$B$453,Resumen!$B34)</f>
        <v>0</v>
      </c>
      <c r="K34" s="76">
        <f>SUMIFS('Eventos B2B_MKT y Turnos DT'!$K$6:$K$456,'Eventos B2B_MKT y Turnos DT'!$D$6:$D$456,Resumen!$B34,'Eventos B2B_MKT y Turnos DT'!$G$6:$G$456,"B2B")</f>
        <v>0</v>
      </c>
      <c r="L34" s="76">
        <f>SUMIFS('Eventos B2B_MKT y Turnos DT'!$K$6:$K$456,'Eventos B2B_MKT y Turnos DT'!$D$6:$D$456,Resumen!$B34,'Eventos B2B_MKT y Turnos DT'!$G$6:$G$456,"Hotel")</f>
        <v>0</v>
      </c>
      <c r="M34" s="76">
        <f>SUMIFS('Eventos B2B_MKT y Turnos DT'!$K$6:$K$456,'Eventos B2B_MKT y Turnos DT'!$D$6:$D$456,Resumen!$B34,'Eventos B2B_MKT y Turnos DT'!$G$6:$G$456,"Marketing")</f>
        <v>0</v>
      </c>
      <c r="N34" s="76">
        <f>SUMIF(Incidencias!$E$4:$E$89,$B34,Incidencias!$K$4:$K$89)</f>
        <v>0</v>
      </c>
      <c r="O34" s="80">
        <f t="shared" si="2"/>
        <v>0</v>
      </c>
      <c r="P34" s="102">
        <v>28000</v>
      </c>
      <c r="Q34" s="102"/>
      <c r="R34" s="99">
        <f t="shared" si="5"/>
        <v>0</v>
      </c>
      <c r="S34" s="102">
        <f t="shared" si="3"/>
        <v>28000</v>
      </c>
      <c r="T34" s="89">
        <f t="shared" si="4"/>
        <v>0</v>
      </c>
      <c r="V34" s="132"/>
    </row>
    <row r="35" spans="2:23" ht="15" hidden="1">
      <c r="B35" s="74" t="str">
        <f>Nómina!D32</f>
        <v>17495969-2</v>
      </c>
      <c r="C35" s="75" t="str">
        <f>Nómina!E32</f>
        <v>ELENA MUÑOZ MUÑOZ</v>
      </c>
      <c r="D35" s="76">
        <f>SUMIFS(BASE!$Q$3:$Q$453,BASE!$O$3:$O$453,Resumen!D$5,BASE!$B$3:$B$453,Resumen!$B35)</f>
        <v>0</v>
      </c>
      <c r="E35" s="76">
        <f>SUMIFS(BASE!$Q$3:$Q$453,BASE!$O$3:$O$453,Resumen!E$5,BASE!$B$3:$B$453,Resumen!$B35)</f>
        <v>0</v>
      </c>
      <c r="F35" s="76">
        <f>SUMIFS(BASE!$Q$3:$Q$453,BASE!$O$3:$O$453,Resumen!F$5,BASE!$B$3:$B$453,Resumen!$B35)</f>
        <v>0</v>
      </c>
      <c r="G35" s="76">
        <f>SUMIFS(BASE!$Q$3:$Q$453,BASE!$O$3:$O$453,Resumen!G$5,BASE!$B$3:$B$453,Resumen!$B35)</f>
        <v>0</v>
      </c>
      <c r="H35" s="76">
        <f>SUMIFS(BASE!$Q$3:$Q$453,BASE!$O$3:$O$453,Resumen!H$5,BASE!$B$3:$B$453,Resumen!$B35)</f>
        <v>0</v>
      </c>
      <c r="I35" s="76">
        <f>SUMIFS(BASE!$Q$3:$Q$453,BASE!$O$3:$O$453,Resumen!I$5,BASE!$B$3:$B$453,Resumen!$B35)</f>
        <v>0</v>
      </c>
      <c r="J35" s="76">
        <f>SUMIFS(BASE!$Q$3:$Q$453,BASE!$O$3:$O$453,Resumen!J$5,BASE!$B$3:$B$453,Resumen!$B35)</f>
        <v>0</v>
      </c>
      <c r="K35" s="76">
        <f>SUMIFS('Eventos B2B_MKT y Turnos DT'!$K$6:$K$456,'Eventos B2B_MKT y Turnos DT'!$D$6:$D$456,Resumen!$B35,'Eventos B2B_MKT y Turnos DT'!$G$6:$G$456,"B2B")</f>
        <v>0</v>
      </c>
      <c r="L35" s="76">
        <f>SUMIFS('Eventos B2B_MKT y Turnos DT'!$K$6:$K$456,'Eventos B2B_MKT y Turnos DT'!$D$6:$D$456,Resumen!$B35,'Eventos B2B_MKT y Turnos DT'!$G$6:$G$456,"Hotel")</f>
        <v>0</v>
      </c>
      <c r="M35" s="76">
        <f>SUMIFS('Eventos B2B_MKT y Turnos DT'!$K$6:$K$456,'Eventos B2B_MKT y Turnos DT'!$D$6:$D$456,Resumen!$B35,'Eventos B2B_MKT y Turnos DT'!$G$6:$G$456,"Marketing")</f>
        <v>0</v>
      </c>
      <c r="N35" s="76">
        <f>SUMIF(Incidencias!$E$4:$E$89,$B35,Incidencias!$K$4:$K$89)</f>
        <v>0</v>
      </c>
      <c r="O35" s="80">
        <f t="shared" si="2"/>
        <v>0</v>
      </c>
      <c r="P35" s="102">
        <v>0</v>
      </c>
      <c r="Q35" s="102"/>
      <c r="R35" s="99">
        <f t="shared" si="5"/>
        <v>0</v>
      </c>
      <c r="S35" s="102">
        <f t="shared" si="3"/>
        <v>0</v>
      </c>
      <c r="T35" s="89">
        <f t="shared" si="4"/>
        <v>0</v>
      </c>
      <c r="U35" s="122" t="str">
        <f>+IF(O35*(1-0.1525)-Q35=T35,"OK","REVISAR")</f>
        <v>OK</v>
      </c>
      <c r="V35" s="132"/>
      <c r="W35" s="132"/>
    </row>
    <row r="36" spans="2:23" hidden="1">
      <c r="B36" s="74" t="str">
        <f>Nómina!D33</f>
        <v>13230370-3</v>
      </c>
      <c r="C36" s="75" t="str">
        <f>Nómina!E33</f>
        <v>ESTEBAN MELLA GALLARDO</v>
      </c>
      <c r="D36" s="76">
        <f>SUMIFS(BASE!$Q$3:$Q$453,BASE!$O$3:$O$453,Resumen!D$5,BASE!$B$3:$B$453,Resumen!$B36)</f>
        <v>0</v>
      </c>
      <c r="E36" s="76">
        <f>SUMIFS(BASE!$Q$3:$Q$453,BASE!$O$3:$O$453,Resumen!E$5,BASE!$B$3:$B$453,Resumen!$B36)</f>
        <v>0</v>
      </c>
      <c r="F36" s="76">
        <f>SUMIFS(BASE!$Q$3:$Q$453,BASE!$O$3:$O$453,Resumen!F$5,BASE!$B$3:$B$453,Resumen!$B36)</f>
        <v>0</v>
      </c>
      <c r="G36" s="76">
        <f>SUMIFS(BASE!$Q$3:$Q$453,BASE!$O$3:$O$453,Resumen!G$5,BASE!$B$3:$B$453,Resumen!$B36)</f>
        <v>0</v>
      </c>
      <c r="H36" s="76">
        <f>SUMIFS(BASE!$Q$3:$Q$453,BASE!$O$3:$O$453,Resumen!H$5,BASE!$B$3:$B$453,Resumen!$B36)</f>
        <v>0</v>
      </c>
      <c r="I36" s="76">
        <f>SUMIFS(BASE!$Q$3:$Q$453,BASE!$O$3:$O$453,Resumen!I$5,BASE!$B$3:$B$453,Resumen!$B36)</f>
        <v>0</v>
      </c>
      <c r="J36" s="76">
        <f>SUMIFS(BASE!$Q$3:$Q$453,BASE!$O$3:$O$453,Resumen!J$5,BASE!$B$3:$B$453,Resumen!$B36)</f>
        <v>0</v>
      </c>
      <c r="K36" s="76">
        <f>SUMIFS('Eventos B2B_MKT y Turnos DT'!$K$6:$K$456,'Eventos B2B_MKT y Turnos DT'!$D$6:$D$456,Resumen!$B36,'Eventos B2B_MKT y Turnos DT'!$G$6:$G$456,"B2B")</f>
        <v>0</v>
      </c>
      <c r="L36" s="76">
        <f>SUMIFS('Eventos B2B_MKT y Turnos DT'!$K$6:$K$456,'Eventos B2B_MKT y Turnos DT'!$D$6:$D$456,Resumen!$B36,'Eventos B2B_MKT y Turnos DT'!$G$6:$G$456,"Hotel")</f>
        <v>0</v>
      </c>
      <c r="M36" s="76">
        <f>SUMIFS('Eventos B2B_MKT y Turnos DT'!$K$6:$K$456,'Eventos B2B_MKT y Turnos DT'!$D$6:$D$456,Resumen!$B36,'Eventos B2B_MKT y Turnos DT'!$G$6:$G$456,"Marketing")</f>
        <v>0</v>
      </c>
      <c r="N36" s="76">
        <f>SUMIF(Incidencias!$E$4:$E$89,$B36,Incidencias!$K$4:$K$89)</f>
        <v>0</v>
      </c>
      <c r="O36" s="80">
        <f t="shared" si="2"/>
        <v>0</v>
      </c>
      <c r="P36" s="102">
        <v>0</v>
      </c>
      <c r="Q36" s="102"/>
      <c r="R36" s="99">
        <f t="shared" si="5"/>
        <v>0</v>
      </c>
      <c r="S36" s="102">
        <f t="shared" si="3"/>
        <v>0</v>
      </c>
      <c r="T36" s="89">
        <f t="shared" si="4"/>
        <v>0</v>
      </c>
      <c r="V36" s="132"/>
    </row>
    <row r="37" spans="2:23" ht="15">
      <c r="B37" s="74" t="str">
        <f>Nómina!D34</f>
        <v>12897620-5</v>
      </c>
      <c r="C37" s="75" t="str">
        <f>Nómina!E34</f>
        <v>EUGENIA ISABEL MONTOYA VIELMA</v>
      </c>
      <c r="D37" s="76">
        <f>SUMIFS(BASE!$Q$3:$Q$453,BASE!$O$3:$O$453,Resumen!D$5,BASE!$B$3:$B$453,Resumen!$B37)</f>
        <v>70588</v>
      </c>
      <c r="E37" s="76">
        <f>SUMIFS(BASE!$Q$3:$Q$453,BASE!$O$3:$O$453,Resumen!E$5,BASE!$B$3:$B$453,Resumen!$B37)</f>
        <v>0</v>
      </c>
      <c r="F37" s="76">
        <f>SUMIFS(BASE!$Q$3:$Q$453,BASE!$O$3:$O$453,Resumen!F$5,BASE!$B$3:$B$453,Resumen!$B37)</f>
        <v>22689</v>
      </c>
      <c r="G37" s="76">
        <f>SUMIFS(BASE!$Q$3:$Q$453,BASE!$O$3:$O$453,Resumen!G$5,BASE!$B$3:$B$453,Resumen!$B37)</f>
        <v>0</v>
      </c>
      <c r="H37" s="76">
        <f>SUMIFS(BASE!$Q$3:$Q$453,BASE!$O$3:$O$453,Resumen!H$5,BASE!$B$3:$B$453,Resumen!$B37)</f>
        <v>0</v>
      </c>
      <c r="I37" s="76">
        <f>SUMIFS(BASE!$Q$3:$Q$453,BASE!$O$3:$O$453,Resumen!I$5,BASE!$B$3:$B$453,Resumen!$B37)</f>
        <v>0</v>
      </c>
      <c r="J37" s="76">
        <f>SUMIFS(BASE!$Q$3:$Q$453,BASE!$O$3:$O$453,Resumen!J$5,BASE!$B$3:$B$453,Resumen!$B37)</f>
        <v>0</v>
      </c>
      <c r="K37" s="76">
        <f>SUMIFS('Eventos B2B_MKT y Turnos DT'!$K$6:$K$456,'Eventos B2B_MKT y Turnos DT'!$D$6:$D$456,Resumen!$B37,'Eventos B2B_MKT y Turnos DT'!$G$6:$G$456,"B2B")</f>
        <v>0</v>
      </c>
      <c r="L37" s="76">
        <f>SUMIFS('Eventos B2B_MKT y Turnos DT'!$K$6:$K$456,'Eventos B2B_MKT y Turnos DT'!$D$6:$D$456,Resumen!$B37,'Eventos B2B_MKT y Turnos DT'!$G$6:$G$456,"Hotel")</f>
        <v>0</v>
      </c>
      <c r="M37" s="76">
        <f>SUMIFS('Eventos B2B_MKT y Turnos DT'!$K$6:$K$456,'Eventos B2B_MKT y Turnos DT'!$D$6:$D$456,Resumen!$B37,'Eventos B2B_MKT y Turnos DT'!$G$6:$G$456,"Marketing")</f>
        <v>0</v>
      </c>
      <c r="N37" s="76">
        <f>SUMIF(Incidencias!$E$4:$E$89,$B37,Incidencias!$K$4:$K$89)</f>
        <v>15000</v>
      </c>
      <c r="O37" s="80">
        <f t="shared" si="2"/>
        <v>108277</v>
      </c>
      <c r="P37" s="102">
        <v>0</v>
      </c>
      <c r="Q37" s="102">
        <f>+IF(AND(P37&lt;&gt;0,P37&gt;O37*0.2),O37*0.2,P37)</f>
        <v>0</v>
      </c>
      <c r="R37" s="99">
        <f t="shared" si="5"/>
        <v>0</v>
      </c>
      <c r="S37" s="102">
        <f t="shared" si="3"/>
        <v>0</v>
      </c>
      <c r="T37" s="89">
        <f t="shared" si="4"/>
        <v>91764.757500000007</v>
      </c>
      <c r="U37" s="122" t="str">
        <f>+IF(O37*(1-0.1525)-Q37=T37,"OK","REVISAR")</f>
        <v>OK</v>
      </c>
      <c r="V37" s="132"/>
    </row>
    <row r="38" spans="2:23" ht="15" hidden="1">
      <c r="B38" s="74" t="str">
        <f>Nómina!D35</f>
        <v>17379695-1</v>
      </c>
      <c r="C38" s="75" t="str">
        <f>Nómina!E35</f>
        <v>FRANCISCA ANGELICA ROJAS VILCH </v>
      </c>
      <c r="D38" s="76">
        <f>SUMIFS(BASE!$Q$3:$Q$453,BASE!$O$3:$O$453,Resumen!D$5,BASE!$B$3:$B$453,Resumen!$B38)</f>
        <v>0</v>
      </c>
      <c r="E38" s="76">
        <f>SUMIFS(BASE!$Q$3:$Q$453,BASE!$O$3:$O$453,Resumen!E$5,BASE!$B$3:$B$453,Resumen!$B38)</f>
        <v>0</v>
      </c>
      <c r="F38" s="76">
        <f>SUMIFS(BASE!$Q$3:$Q$453,BASE!$O$3:$O$453,Resumen!F$5,BASE!$B$3:$B$453,Resumen!$B38)</f>
        <v>0</v>
      </c>
      <c r="G38" s="76">
        <f>SUMIFS(BASE!$Q$3:$Q$453,BASE!$O$3:$O$453,Resumen!G$5,BASE!$B$3:$B$453,Resumen!$B38)</f>
        <v>0</v>
      </c>
      <c r="H38" s="76">
        <f>SUMIFS(BASE!$Q$3:$Q$453,BASE!$O$3:$O$453,Resumen!H$5,BASE!$B$3:$B$453,Resumen!$B38)</f>
        <v>0</v>
      </c>
      <c r="I38" s="76">
        <f>SUMIFS(BASE!$Q$3:$Q$453,BASE!$O$3:$O$453,Resumen!I$5,BASE!$B$3:$B$453,Resumen!$B38)</f>
        <v>0</v>
      </c>
      <c r="J38" s="76">
        <f>SUMIFS(BASE!$Q$3:$Q$453,BASE!$O$3:$O$453,Resumen!J$5,BASE!$B$3:$B$453,Resumen!$B38)</f>
        <v>0</v>
      </c>
      <c r="K38" s="76">
        <f>SUMIFS('Eventos B2B_MKT y Turnos DT'!$K$6:$K$456,'Eventos B2B_MKT y Turnos DT'!$D$6:$D$456,Resumen!$B38,'Eventos B2B_MKT y Turnos DT'!$G$6:$G$456,"B2B")</f>
        <v>0</v>
      </c>
      <c r="L38" s="76">
        <f>SUMIFS('Eventos B2B_MKT y Turnos DT'!$K$6:$K$456,'Eventos B2B_MKT y Turnos DT'!$D$6:$D$456,Resumen!$B38,'Eventos B2B_MKT y Turnos DT'!$G$6:$G$456,"Hotel")</f>
        <v>0</v>
      </c>
      <c r="M38" s="76">
        <f>SUMIFS('Eventos B2B_MKT y Turnos DT'!$K$6:$K$456,'Eventos B2B_MKT y Turnos DT'!$D$6:$D$456,Resumen!$B38,'Eventos B2B_MKT y Turnos DT'!$G$6:$G$456,"Marketing")</f>
        <v>0</v>
      </c>
      <c r="N38" s="76">
        <f>SUMIF(Incidencias!$E$4:$E$89,$B38,Incidencias!$K$4:$K$89)</f>
        <v>0</v>
      </c>
      <c r="O38" s="80">
        <f t="shared" si="2"/>
        <v>0</v>
      </c>
      <c r="P38" s="102">
        <v>0</v>
      </c>
      <c r="Q38" s="102"/>
      <c r="R38" s="99">
        <f>IFERROR(Q38/O38,0)</f>
        <v>0</v>
      </c>
      <c r="S38" s="102">
        <f t="shared" si="3"/>
        <v>0</v>
      </c>
      <c r="T38" s="89">
        <f t="shared" si="4"/>
        <v>0</v>
      </c>
      <c r="U38" s="122" t="str">
        <f t="shared" ref="U38:U42" si="11">+IF(O38*(1-0.1525)-Q38=T38,"OK","REVISAR")</f>
        <v>OK</v>
      </c>
      <c r="V38" s="132"/>
    </row>
    <row r="39" spans="2:23" ht="15" hidden="1">
      <c r="B39" s="74" t="str">
        <f>Nómina!D36</f>
        <v>18786881-5</v>
      </c>
      <c r="C39" s="75" t="str">
        <f>Nómina!E36</f>
        <v>FRANCISCA ARAYA OLGUIN</v>
      </c>
      <c r="D39" s="76">
        <f>SUMIFS(BASE!$Q$3:$Q$453,BASE!$O$3:$O$453,Resumen!D$5,BASE!$B$3:$B$453,Resumen!$B39)</f>
        <v>0</v>
      </c>
      <c r="E39" s="76">
        <f>SUMIFS(BASE!$Q$3:$Q$453,BASE!$O$3:$O$453,Resumen!E$5,BASE!$B$3:$B$453,Resumen!$B39)</f>
        <v>0</v>
      </c>
      <c r="F39" s="76">
        <f>SUMIFS(BASE!$Q$3:$Q$453,BASE!$O$3:$O$453,Resumen!F$5,BASE!$B$3:$B$453,Resumen!$B39)</f>
        <v>0</v>
      </c>
      <c r="G39" s="76">
        <f>SUMIFS(BASE!$Q$3:$Q$453,BASE!$O$3:$O$453,Resumen!G$5,BASE!$B$3:$B$453,Resumen!$B39)</f>
        <v>0</v>
      </c>
      <c r="H39" s="76">
        <f>SUMIFS(BASE!$Q$3:$Q$453,BASE!$O$3:$O$453,Resumen!H$5,BASE!$B$3:$B$453,Resumen!$B39)</f>
        <v>0</v>
      </c>
      <c r="I39" s="76">
        <f>SUMIFS(BASE!$Q$3:$Q$453,BASE!$O$3:$O$453,Resumen!I$5,BASE!$B$3:$B$453,Resumen!$B39)</f>
        <v>0</v>
      </c>
      <c r="J39" s="76">
        <f>SUMIFS(BASE!$Q$3:$Q$453,BASE!$O$3:$O$453,Resumen!J$5,BASE!$B$3:$B$453,Resumen!$B39)</f>
        <v>0</v>
      </c>
      <c r="K39" s="76">
        <f>SUMIFS('Eventos B2B_MKT y Turnos DT'!$K$6:$K$456,'Eventos B2B_MKT y Turnos DT'!$D$6:$D$456,Resumen!$B39,'Eventos B2B_MKT y Turnos DT'!$G$6:$G$456,"B2B")</f>
        <v>0</v>
      </c>
      <c r="L39" s="76">
        <f>SUMIFS('Eventos B2B_MKT y Turnos DT'!$K$6:$K$456,'Eventos B2B_MKT y Turnos DT'!$D$6:$D$456,Resumen!$B39,'Eventos B2B_MKT y Turnos DT'!$G$6:$G$456,"Hotel")</f>
        <v>0</v>
      </c>
      <c r="M39" s="76">
        <f>SUMIFS('Eventos B2B_MKT y Turnos DT'!$K$6:$K$456,'Eventos B2B_MKT y Turnos DT'!$D$6:$D$456,Resumen!$B39,'Eventos B2B_MKT y Turnos DT'!$G$6:$G$456,"Marketing")</f>
        <v>0</v>
      </c>
      <c r="N39" s="76">
        <f>SUMIF(Incidencias!$E$4:$E$89,$B39,Incidencias!$K$4:$K$89)</f>
        <v>0</v>
      </c>
      <c r="O39" s="80">
        <f t="shared" si="2"/>
        <v>0</v>
      </c>
      <c r="P39" s="102">
        <v>0</v>
      </c>
      <c r="Q39" s="102"/>
      <c r="R39" s="99">
        <f t="shared" si="5"/>
        <v>0</v>
      </c>
      <c r="S39" s="102">
        <f t="shared" si="3"/>
        <v>0</v>
      </c>
      <c r="T39" s="89">
        <f t="shared" si="4"/>
        <v>0</v>
      </c>
      <c r="U39" s="122" t="str">
        <f t="shared" si="11"/>
        <v>OK</v>
      </c>
      <c r="V39" s="132"/>
      <c r="W39" s="132"/>
    </row>
    <row r="40" spans="2:23" ht="15" hidden="1">
      <c r="B40" s="74" t="str">
        <f>Nómina!D37</f>
        <v>16744004-5</v>
      </c>
      <c r="C40" s="75" t="str">
        <f>Nómina!E37</f>
        <v>FRANCISCA PAULA SAAVEDRA ROJAS</v>
      </c>
      <c r="D40" s="76">
        <f>SUMIFS(BASE!$Q$3:$Q$453,BASE!$O$3:$O$453,Resumen!D$5,BASE!$B$3:$B$453,Resumen!$B40)</f>
        <v>0</v>
      </c>
      <c r="E40" s="76">
        <f>SUMIFS(BASE!$Q$3:$Q$453,BASE!$O$3:$O$453,Resumen!E$5,BASE!$B$3:$B$453,Resumen!$B40)</f>
        <v>0</v>
      </c>
      <c r="F40" s="76">
        <f>SUMIFS(BASE!$Q$3:$Q$453,BASE!$O$3:$O$453,Resumen!F$5,BASE!$B$3:$B$453,Resumen!$B40)</f>
        <v>0</v>
      </c>
      <c r="G40" s="76">
        <f>SUMIFS(BASE!$Q$3:$Q$453,BASE!$O$3:$O$453,Resumen!G$5,BASE!$B$3:$B$453,Resumen!$B40)</f>
        <v>0</v>
      </c>
      <c r="H40" s="76">
        <f>SUMIFS(BASE!$Q$3:$Q$453,BASE!$O$3:$O$453,Resumen!H$5,BASE!$B$3:$B$453,Resumen!$B40)</f>
        <v>0</v>
      </c>
      <c r="I40" s="76">
        <f>SUMIFS(BASE!$Q$3:$Q$453,BASE!$O$3:$O$453,Resumen!I$5,BASE!$B$3:$B$453,Resumen!$B40)</f>
        <v>0</v>
      </c>
      <c r="J40" s="76">
        <f>SUMIFS(BASE!$Q$3:$Q$453,BASE!$O$3:$O$453,Resumen!J$5,BASE!$B$3:$B$453,Resumen!$B40)</f>
        <v>0</v>
      </c>
      <c r="K40" s="76">
        <f>SUMIFS('Eventos B2B_MKT y Turnos DT'!$K$6:$K$456,'Eventos B2B_MKT y Turnos DT'!$D$6:$D$456,Resumen!$B40,'Eventos B2B_MKT y Turnos DT'!$G$6:$G$456,"B2B")</f>
        <v>0</v>
      </c>
      <c r="L40" s="76">
        <f>SUMIFS('Eventos B2B_MKT y Turnos DT'!$K$6:$K$456,'Eventos B2B_MKT y Turnos DT'!$D$6:$D$456,Resumen!$B40,'Eventos B2B_MKT y Turnos DT'!$G$6:$G$456,"Hotel")</f>
        <v>0</v>
      </c>
      <c r="M40" s="76">
        <f>SUMIFS('Eventos B2B_MKT y Turnos DT'!$K$6:$K$456,'Eventos B2B_MKT y Turnos DT'!$D$6:$D$456,Resumen!$B40,'Eventos B2B_MKT y Turnos DT'!$G$6:$G$456,"Marketing")</f>
        <v>0</v>
      </c>
      <c r="N40" s="76">
        <f>SUMIF(Incidencias!$E$4:$E$89,$B40,Incidencias!$K$4:$K$89)</f>
        <v>0</v>
      </c>
      <c r="O40" s="80">
        <f t="shared" si="2"/>
        <v>0</v>
      </c>
      <c r="P40" s="102">
        <v>18500</v>
      </c>
      <c r="Q40" s="102"/>
      <c r="R40" s="99">
        <f t="shared" si="5"/>
        <v>0</v>
      </c>
      <c r="S40" s="102">
        <f t="shared" si="3"/>
        <v>18500</v>
      </c>
      <c r="T40" s="89">
        <f t="shared" si="4"/>
        <v>0</v>
      </c>
      <c r="U40" s="122" t="str">
        <f t="shared" si="11"/>
        <v>OK</v>
      </c>
      <c r="V40" s="132"/>
      <c r="W40" s="132"/>
    </row>
    <row r="41" spans="2:23" ht="15">
      <c r="B41" s="74" t="str">
        <f>Nómina!D38</f>
        <v>26598096-1</v>
      </c>
      <c r="C41" s="75" t="str">
        <f>Nómina!E38</f>
        <v>GENESIS DANIELA PIMENTEL HERRERA</v>
      </c>
      <c r="D41" s="76">
        <f>SUMIFS(BASE!$Q$3:$Q$453,BASE!$O$3:$O$453,Resumen!D$5,BASE!$B$3:$B$453,Resumen!$B41)</f>
        <v>183025</v>
      </c>
      <c r="E41" s="76">
        <f>SUMIFS(BASE!$Q$3:$Q$453,BASE!$O$3:$O$453,Resumen!E$5,BASE!$B$3:$B$453,Resumen!$B41)</f>
        <v>0</v>
      </c>
      <c r="F41" s="76">
        <f>SUMIFS(BASE!$Q$3:$Q$453,BASE!$O$3:$O$453,Resumen!F$5,BASE!$B$3:$B$453,Resumen!$B41)</f>
        <v>65546</v>
      </c>
      <c r="G41" s="76">
        <f>SUMIFS(BASE!$Q$3:$Q$453,BASE!$O$3:$O$453,Resumen!G$5,BASE!$B$3:$B$453,Resumen!$B41)</f>
        <v>0</v>
      </c>
      <c r="H41" s="76">
        <f>SUMIFS(BASE!$Q$3:$Q$453,BASE!$O$3:$O$453,Resumen!H$5,BASE!$B$3:$B$453,Resumen!$B41)</f>
        <v>0</v>
      </c>
      <c r="I41" s="76">
        <f>SUMIFS(BASE!$Q$3:$Q$453,BASE!$O$3:$O$453,Resumen!I$5,BASE!$B$3:$B$453,Resumen!$B41)</f>
        <v>0</v>
      </c>
      <c r="J41" s="76">
        <f>SUMIFS(BASE!$Q$3:$Q$453,BASE!$O$3:$O$453,Resumen!J$5,BASE!$B$3:$B$453,Resumen!$B41)</f>
        <v>0</v>
      </c>
      <c r="K41" s="76">
        <f>SUMIFS('Eventos B2B_MKT y Turnos DT'!$K$6:$K$456,'Eventos B2B_MKT y Turnos DT'!$D$6:$D$456,Resumen!$B41,'Eventos B2B_MKT y Turnos DT'!$G$6:$G$456,"B2B")</f>
        <v>0</v>
      </c>
      <c r="L41" s="76">
        <f>SUMIFS('Eventos B2B_MKT y Turnos DT'!$K$6:$K$456,'Eventos B2B_MKT y Turnos DT'!$D$6:$D$456,Resumen!$B41,'Eventos B2B_MKT y Turnos DT'!$G$6:$G$456,"Hotel")</f>
        <v>23392</v>
      </c>
      <c r="M41" s="76">
        <f>SUMIFS('Eventos B2B_MKT y Turnos DT'!$K$6:$K$456,'Eventos B2B_MKT y Turnos DT'!$D$6:$D$456,Resumen!$B41,'Eventos B2B_MKT y Turnos DT'!$G$6:$G$456,"Marketing")</f>
        <v>0</v>
      </c>
      <c r="N41" s="76">
        <f>SUMIF(Incidencias!$E$4:$E$89,$B41,Incidencias!$K$4:$K$89)</f>
        <v>0</v>
      </c>
      <c r="O41" s="80">
        <f t="shared" si="2"/>
        <v>271963</v>
      </c>
      <c r="P41" s="102">
        <v>0</v>
      </c>
      <c r="Q41" s="102">
        <f t="shared" ref="Q41:Q44" si="12">+IF(AND(P41&lt;&gt;0,P41&gt;O41*0.2),O41*0.2,P41)</f>
        <v>0</v>
      </c>
      <c r="R41" s="99">
        <f t="shared" si="5"/>
        <v>0</v>
      </c>
      <c r="S41" s="102">
        <f t="shared" si="3"/>
        <v>0</v>
      </c>
      <c r="T41" s="89">
        <f t="shared" si="4"/>
        <v>230488.64250000002</v>
      </c>
      <c r="U41" s="122" t="str">
        <f t="shared" si="11"/>
        <v>OK</v>
      </c>
      <c r="V41" s="132"/>
    </row>
    <row r="42" spans="2:23" ht="15">
      <c r="B42" s="74" t="str">
        <f>Nómina!D39</f>
        <v>27828546-4</v>
      </c>
      <c r="C42" s="75" t="str">
        <f>Nómina!E39</f>
        <v>GENESIS VALENTINA SALAZAR GUEVARA</v>
      </c>
      <c r="D42" s="76">
        <f>SUMIFS(BASE!$Q$3:$Q$453,BASE!$O$3:$O$453,Resumen!D$5,BASE!$B$3:$B$453,Resumen!$B42)</f>
        <v>177134</v>
      </c>
      <c r="E42" s="76">
        <f>SUMIFS(BASE!$Q$3:$Q$453,BASE!$O$3:$O$453,Resumen!E$5,BASE!$B$3:$B$453,Resumen!$B42)</f>
        <v>0</v>
      </c>
      <c r="F42" s="76">
        <f>SUMIFS(BASE!$Q$3:$Q$453,BASE!$O$3:$O$453,Resumen!F$5,BASE!$B$3:$B$453,Resumen!$B42)</f>
        <v>118487</v>
      </c>
      <c r="G42" s="76">
        <f>SUMIFS(BASE!$Q$3:$Q$453,BASE!$O$3:$O$453,Resumen!G$5,BASE!$B$3:$B$453,Resumen!$B42)</f>
        <v>0</v>
      </c>
      <c r="H42" s="76">
        <f>SUMIFS(BASE!$Q$3:$Q$453,BASE!$O$3:$O$453,Resumen!H$5,BASE!$B$3:$B$453,Resumen!$B42)</f>
        <v>0</v>
      </c>
      <c r="I42" s="76">
        <f>SUMIFS(BASE!$Q$3:$Q$453,BASE!$O$3:$O$453,Resumen!I$5,BASE!$B$3:$B$453,Resumen!$B42)</f>
        <v>0</v>
      </c>
      <c r="J42" s="76">
        <f>SUMIFS(BASE!$Q$3:$Q$453,BASE!$O$3:$O$453,Resumen!J$5,BASE!$B$3:$B$453,Resumen!$B42)</f>
        <v>0</v>
      </c>
      <c r="K42" s="76">
        <f>SUMIFS('Eventos B2B_MKT y Turnos DT'!$K$6:$K$456,'Eventos B2B_MKT y Turnos DT'!$D$6:$D$456,Resumen!$B42,'Eventos B2B_MKT y Turnos DT'!$G$6:$G$456,"B2B")</f>
        <v>0</v>
      </c>
      <c r="L42" s="76">
        <f>SUMIFS('Eventos B2B_MKT y Turnos DT'!$K$6:$K$456,'Eventos B2B_MKT y Turnos DT'!$D$6:$D$456,Resumen!$B42,'Eventos B2B_MKT y Turnos DT'!$G$6:$G$456,"Hotel")</f>
        <v>0</v>
      </c>
      <c r="M42" s="76">
        <f>SUMIFS('Eventos B2B_MKT y Turnos DT'!$K$6:$K$456,'Eventos B2B_MKT y Turnos DT'!$D$6:$D$456,Resumen!$B42,'Eventos B2B_MKT y Turnos DT'!$G$6:$G$456,"Marketing")</f>
        <v>0</v>
      </c>
      <c r="N42" s="76">
        <f>SUMIF(Incidencias!$E$4:$E$89,$B42,Incidencias!$K$4:$K$89)</f>
        <v>0</v>
      </c>
      <c r="O42" s="80">
        <f t="shared" si="2"/>
        <v>295621</v>
      </c>
      <c r="P42" s="102">
        <v>0</v>
      </c>
      <c r="Q42" s="102">
        <f t="shared" si="12"/>
        <v>0</v>
      </c>
      <c r="R42" s="99">
        <f t="shared" si="5"/>
        <v>0</v>
      </c>
      <c r="S42" s="102">
        <f t="shared" si="3"/>
        <v>0</v>
      </c>
      <c r="T42" s="89">
        <f t="shared" si="4"/>
        <v>250538.79750000002</v>
      </c>
      <c r="U42" s="122" t="str">
        <f t="shared" si="11"/>
        <v>OK</v>
      </c>
      <c r="V42" s="132"/>
      <c r="W42" s="132"/>
    </row>
    <row r="43" spans="2:23" ht="15">
      <c r="B43" s="74" t="str">
        <f>Nómina!D40</f>
        <v>17681238-9</v>
      </c>
      <c r="C43" s="75" t="str">
        <f>Nómina!E40</f>
        <v>IVVO LEANDRO VERGARA SALINAS</v>
      </c>
      <c r="D43" s="76">
        <f>SUMIFS(BASE!$Q$3:$Q$453,BASE!$O$3:$O$453,Resumen!D$5,BASE!$B$3:$B$453,Resumen!$B43)</f>
        <v>25210</v>
      </c>
      <c r="E43" s="76">
        <f>SUMIFS(BASE!$Q$3:$Q$453,BASE!$O$3:$O$453,Resumen!E$5,BASE!$B$3:$B$453,Resumen!$B43)</f>
        <v>0</v>
      </c>
      <c r="F43" s="76">
        <f>SUMIFS(BASE!$Q$3:$Q$453,BASE!$O$3:$O$453,Resumen!F$5,BASE!$B$3:$B$453,Resumen!$B43)</f>
        <v>82185</v>
      </c>
      <c r="G43" s="76">
        <f>SUMIFS(BASE!$Q$3:$Q$453,BASE!$O$3:$O$453,Resumen!G$5,BASE!$B$3:$B$453,Resumen!$B43)</f>
        <v>0</v>
      </c>
      <c r="H43" s="76">
        <f>SUMIFS(BASE!$Q$3:$Q$453,BASE!$O$3:$O$453,Resumen!H$5,BASE!$B$3:$B$453,Resumen!$B43)</f>
        <v>0</v>
      </c>
      <c r="I43" s="76">
        <f>SUMIFS(BASE!$Q$3:$Q$453,BASE!$O$3:$O$453,Resumen!I$5,BASE!$B$3:$B$453,Resumen!$B43)</f>
        <v>0</v>
      </c>
      <c r="J43" s="76">
        <f>SUMIFS(BASE!$Q$3:$Q$453,BASE!$O$3:$O$453,Resumen!J$5,BASE!$B$3:$B$453,Resumen!$B43)</f>
        <v>0</v>
      </c>
      <c r="K43" s="76">
        <f>SUMIFS('Eventos B2B_MKT y Turnos DT'!$K$6:$K$456,'Eventos B2B_MKT y Turnos DT'!$D$6:$D$456,Resumen!$B43,'Eventos B2B_MKT y Turnos DT'!$G$6:$G$456,"B2B")</f>
        <v>0</v>
      </c>
      <c r="L43" s="76">
        <f>SUMIFS('Eventos B2B_MKT y Turnos DT'!$K$6:$K$456,'Eventos B2B_MKT y Turnos DT'!$D$6:$D$456,Resumen!$B43,'Eventos B2B_MKT y Turnos DT'!$G$6:$G$456,"Hotel")</f>
        <v>46784</v>
      </c>
      <c r="M43" s="76">
        <f>SUMIFS('Eventos B2B_MKT y Turnos DT'!$K$6:$K$456,'Eventos B2B_MKT y Turnos DT'!$D$6:$D$456,Resumen!$B43,'Eventos B2B_MKT y Turnos DT'!$G$6:$G$456,"Marketing")</f>
        <v>0</v>
      </c>
      <c r="N43" s="76">
        <f>SUMIF(Incidencias!$E$4:$E$89,$B43,Incidencias!$K$4:$K$89)</f>
        <v>15000</v>
      </c>
      <c r="O43" s="80">
        <f t="shared" si="2"/>
        <v>169179</v>
      </c>
      <c r="P43" s="102">
        <v>0</v>
      </c>
      <c r="Q43" s="102">
        <f t="shared" si="12"/>
        <v>0</v>
      </c>
      <c r="R43" s="99">
        <f>IFERROR(Q43/O43,0)</f>
        <v>0</v>
      </c>
      <c r="S43" s="102">
        <f t="shared" si="3"/>
        <v>0</v>
      </c>
      <c r="T43" s="89">
        <f t="shared" si="4"/>
        <v>143379.20250000001</v>
      </c>
      <c r="U43" s="122" t="str">
        <f>+IF(O43*(1-0.1525)-Q43=T43,"OK","REVISAR")</f>
        <v>OK</v>
      </c>
      <c r="V43" s="132"/>
    </row>
    <row r="44" spans="2:23" ht="15">
      <c r="B44" s="74" t="str">
        <f>Nómina!D41</f>
        <v>19232974-4</v>
      </c>
      <c r="C44" s="75" t="str">
        <f>Nómina!E41</f>
        <v>JOSE IGNACIO PALMA CASANOVA</v>
      </c>
      <c r="D44" s="76">
        <f>SUMIFS(BASE!$Q$3:$Q$453,BASE!$O$3:$O$453,Resumen!D$5,BASE!$B$3:$B$453,Resumen!$B44)</f>
        <v>22689</v>
      </c>
      <c r="E44" s="76">
        <f>SUMIFS(BASE!$Q$3:$Q$453,BASE!$O$3:$O$453,Resumen!E$5,BASE!$B$3:$B$453,Resumen!$B44)</f>
        <v>0</v>
      </c>
      <c r="F44" s="76">
        <f>SUMIFS(BASE!$Q$3:$Q$453,BASE!$O$3:$O$453,Resumen!F$5,BASE!$B$3:$B$453,Resumen!$B44)</f>
        <v>55462</v>
      </c>
      <c r="G44" s="76">
        <f>SUMIFS(BASE!$Q$3:$Q$453,BASE!$O$3:$O$453,Resumen!G$5,BASE!$B$3:$B$453,Resumen!$B44)</f>
        <v>0</v>
      </c>
      <c r="H44" s="76">
        <f>SUMIFS(BASE!$Q$3:$Q$453,BASE!$O$3:$O$453,Resumen!H$5,BASE!$B$3:$B$453,Resumen!$B44)</f>
        <v>0</v>
      </c>
      <c r="I44" s="76">
        <f>SUMIFS(BASE!$Q$3:$Q$453,BASE!$O$3:$O$453,Resumen!I$5,BASE!$B$3:$B$453,Resumen!$B44)</f>
        <v>0</v>
      </c>
      <c r="J44" s="76">
        <f>SUMIFS(BASE!$Q$3:$Q$453,BASE!$O$3:$O$453,Resumen!J$5,BASE!$B$3:$B$453,Resumen!$B44)</f>
        <v>0</v>
      </c>
      <c r="K44" s="76">
        <f>SUMIFS('Eventos B2B_MKT y Turnos DT'!$K$6:$K$456,'Eventos B2B_MKT y Turnos DT'!$D$6:$D$456,Resumen!$B44,'Eventos B2B_MKT y Turnos DT'!$G$6:$G$456,"B2B")</f>
        <v>0</v>
      </c>
      <c r="L44" s="76">
        <f>SUMIFS('Eventos B2B_MKT y Turnos DT'!$K$6:$K$456,'Eventos B2B_MKT y Turnos DT'!$D$6:$D$456,Resumen!$B44,'Eventos B2B_MKT y Turnos DT'!$G$6:$G$456,"Hotel")</f>
        <v>46784</v>
      </c>
      <c r="M44" s="76">
        <f>SUMIFS('Eventos B2B_MKT y Turnos DT'!$K$6:$K$456,'Eventos B2B_MKT y Turnos DT'!$D$6:$D$456,Resumen!$B44,'Eventos B2B_MKT y Turnos DT'!$G$6:$G$456,"Marketing")</f>
        <v>0</v>
      </c>
      <c r="N44" s="76">
        <f>SUMIF(Incidencias!$E$4:$E$89,$B44,Incidencias!$K$4:$K$89)</f>
        <v>0</v>
      </c>
      <c r="O44" s="80">
        <f t="shared" si="2"/>
        <v>124935</v>
      </c>
      <c r="P44" s="102">
        <v>11250</v>
      </c>
      <c r="Q44" s="102">
        <f t="shared" si="12"/>
        <v>11250</v>
      </c>
      <c r="R44" s="99">
        <f>IFERROR(Q44/O44,0)</f>
        <v>9.0046824348661306E-2</v>
      </c>
      <c r="S44" s="102">
        <f t="shared" si="3"/>
        <v>0</v>
      </c>
      <c r="T44" s="89">
        <f t="shared" si="4"/>
        <v>94632.412500000006</v>
      </c>
      <c r="U44" s="122" t="str">
        <f>+IF(O44*(1-0.1525)-Q44=T44,"OK","REVISAR")</f>
        <v>OK</v>
      </c>
      <c r="V44" s="132"/>
      <c r="W44" s="132"/>
    </row>
    <row r="45" spans="2:23" ht="15">
      <c r="B45" s="74" t="str">
        <f>Nómina!D42</f>
        <v>9384198-0</v>
      </c>
      <c r="C45" s="75" t="str">
        <f>Nómina!E42</f>
        <v>KARIN BRILOVICH KLEINKOPF</v>
      </c>
      <c r="D45" s="76">
        <f>SUMIFS(BASE!$Q$3:$Q$453,BASE!$O$3:$O$453,Resumen!D$5,BASE!$B$3:$B$453,Resumen!$B45)</f>
        <v>35958</v>
      </c>
      <c r="E45" s="76">
        <f>SUMIFS(BASE!$Q$3:$Q$453,BASE!$O$3:$O$453,Resumen!E$5,BASE!$B$3:$B$453,Resumen!$B45)</f>
        <v>0</v>
      </c>
      <c r="F45" s="76">
        <f>SUMIFS(BASE!$Q$3:$Q$453,BASE!$O$3:$O$453,Resumen!F$5,BASE!$B$3:$B$453,Resumen!$B45)</f>
        <v>0</v>
      </c>
      <c r="G45" s="76">
        <f>SUMIFS(BASE!$Q$3:$Q$453,BASE!$O$3:$O$453,Resumen!G$5,BASE!$B$3:$B$453,Resumen!$B45)</f>
        <v>0</v>
      </c>
      <c r="H45" s="76">
        <f>SUMIFS(BASE!$Q$3:$Q$453,BASE!$O$3:$O$453,Resumen!H$5,BASE!$B$3:$B$453,Resumen!$B45)</f>
        <v>0</v>
      </c>
      <c r="I45" s="76">
        <f>SUMIFS(BASE!$Q$3:$Q$453,BASE!$O$3:$O$453,Resumen!I$5,BASE!$B$3:$B$453,Resumen!$B45)</f>
        <v>0</v>
      </c>
      <c r="J45" s="76">
        <f>SUMIFS(BASE!$Q$3:$Q$453,BASE!$O$3:$O$453,Resumen!J$5,BASE!$B$3:$B$453,Resumen!$B45)</f>
        <v>0</v>
      </c>
      <c r="K45" s="76">
        <f>SUMIFS('Eventos B2B_MKT y Turnos DT'!$K$6:$K$456,'Eventos B2B_MKT y Turnos DT'!$D$6:$D$456,Resumen!$B45,'Eventos B2B_MKT y Turnos DT'!$G$6:$G$456,"B2B")</f>
        <v>0</v>
      </c>
      <c r="L45" s="76">
        <f>SUMIFS('Eventos B2B_MKT y Turnos DT'!$K$6:$K$456,'Eventos B2B_MKT y Turnos DT'!$D$6:$D$456,Resumen!$B45,'Eventos B2B_MKT y Turnos DT'!$G$6:$G$456,"Hotel")</f>
        <v>0</v>
      </c>
      <c r="M45" s="76">
        <f>SUMIFS('Eventos B2B_MKT y Turnos DT'!$K$6:$K$456,'Eventos B2B_MKT y Turnos DT'!$D$6:$D$456,Resumen!$B45,'Eventos B2B_MKT y Turnos DT'!$G$6:$G$456,"Marketing")</f>
        <v>0</v>
      </c>
      <c r="N45" s="76">
        <f>SUMIF(Incidencias!$E$4:$E$89,$B45,Incidencias!$K$4:$K$89)</f>
        <v>0</v>
      </c>
      <c r="O45" s="80">
        <f t="shared" si="2"/>
        <v>35958</v>
      </c>
      <c r="P45" s="102">
        <v>75425.890756302499</v>
      </c>
      <c r="Q45" s="102">
        <v>10426</v>
      </c>
      <c r="R45" s="99">
        <f t="shared" si="5"/>
        <v>0.28994938539407084</v>
      </c>
      <c r="S45" s="102">
        <f t="shared" si="3"/>
        <v>64999.890756302499</v>
      </c>
      <c r="T45" s="89">
        <f t="shared" si="4"/>
        <v>20048.405000000002</v>
      </c>
      <c r="U45" s="122" t="str">
        <f>+IF(O45*(1-0.1525)-Q45=T45,"OK","REVISAR")</f>
        <v>OK</v>
      </c>
      <c r="V45" s="132"/>
    </row>
    <row r="46" spans="2:23" ht="15" hidden="1">
      <c r="B46" s="74" t="str">
        <f>Nómina!D43</f>
        <v>20615813-1</v>
      </c>
      <c r="C46" s="75" t="str">
        <f>Nómina!E43</f>
        <v>KEIJI NAOKI HAMASAKI ARANGUIZ</v>
      </c>
      <c r="D46" s="76">
        <f>SUMIFS(BASE!$Q$3:$Q$453,BASE!$O$3:$O$453,Resumen!D$5,BASE!$B$3:$B$453,Resumen!$B46)</f>
        <v>0</v>
      </c>
      <c r="E46" s="76">
        <f>SUMIFS(BASE!$Q$3:$Q$453,BASE!$O$3:$O$453,Resumen!E$5,BASE!$B$3:$B$453,Resumen!$B46)</f>
        <v>0</v>
      </c>
      <c r="F46" s="76">
        <f>SUMIFS(BASE!$Q$3:$Q$453,BASE!$O$3:$O$453,Resumen!F$5,BASE!$B$3:$B$453,Resumen!$B46)</f>
        <v>0</v>
      </c>
      <c r="G46" s="76">
        <f>SUMIFS(BASE!$Q$3:$Q$453,BASE!$O$3:$O$453,Resumen!G$5,BASE!$B$3:$B$453,Resumen!$B46)</f>
        <v>0</v>
      </c>
      <c r="H46" s="76">
        <f>SUMIFS(BASE!$Q$3:$Q$453,BASE!$O$3:$O$453,Resumen!H$5,BASE!$B$3:$B$453,Resumen!$B46)</f>
        <v>0</v>
      </c>
      <c r="I46" s="76">
        <f>SUMIFS(BASE!$Q$3:$Q$453,BASE!$O$3:$O$453,Resumen!I$5,BASE!$B$3:$B$453,Resumen!$B46)</f>
        <v>0</v>
      </c>
      <c r="J46" s="76">
        <f>SUMIFS(BASE!$Q$3:$Q$453,BASE!$O$3:$O$453,Resumen!J$5,BASE!$B$3:$B$453,Resumen!$B46)</f>
        <v>0</v>
      </c>
      <c r="K46" s="76">
        <f>SUMIFS('Eventos B2B_MKT y Turnos DT'!$K$6:$K$456,'Eventos B2B_MKT y Turnos DT'!$D$6:$D$456,Resumen!$B46,'Eventos B2B_MKT y Turnos DT'!$G$6:$G$456,"B2B")</f>
        <v>0</v>
      </c>
      <c r="L46" s="76">
        <f>SUMIFS('Eventos B2B_MKT y Turnos DT'!$K$6:$K$456,'Eventos B2B_MKT y Turnos DT'!$D$6:$D$456,Resumen!$B46,'Eventos B2B_MKT y Turnos DT'!$G$6:$G$456,"Hotel")</f>
        <v>0</v>
      </c>
      <c r="M46" s="76">
        <f>SUMIFS('Eventos B2B_MKT y Turnos DT'!$K$6:$K$456,'Eventos B2B_MKT y Turnos DT'!$D$6:$D$456,Resumen!$B46,'Eventos B2B_MKT y Turnos DT'!$G$6:$G$456,"Marketing")</f>
        <v>0</v>
      </c>
      <c r="N46" s="76">
        <f>SUMIF(Incidencias!$E$4:$E$89,$B46,Incidencias!$K$4:$K$89)</f>
        <v>0</v>
      </c>
      <c r="O46" s="80">
        <f t="shared" si="2"/>
        <v>0</v>
      </c>
      <c r="P46" s="102">
        <v>65000</v>
      </c>
      <c r="Q46" s="102">
        <v>13000</v>
      </c>
      <c r="R46" s="99">
        <f t="shared" si="5"/>
        <v>0</v>
      </c>
      <c r="S46" s="102">
        <f t="shared" si="3"/>
        <v>52000</v>
      </c>
      <c r="T46" s="89">
        <f t="shared" si="4"/>
        <v>-13000</v>
      </c>
      <c r="U46" s="122" t="str">
        <f>+IF(O46*(1-0.1525)-Q46=T46,"OK","REVISAR")</f>
        <v>OK</v>
      </c>
      <c r="V46" s="132"/>
    </row>
    <row r="47" spans="2:23" hidden="1">
      <c r="B47" s="74" t="str">
        <f>Nómina!D44</f>
        <v>19229987-K</v>
      </c>
      <c r="C47" s="75" t="str">
        <f>Nómina!E44</f>
        <v>KIMBERLY NAOMI ORTEGA DUARTE</v>
      </c>
      <c r="D47" s="76">
        <f>SUMIFS(BASE!$Q$3:$Q$453,BASE!$O$3:$O$453,Resumen!D$5,BASE!$B$3:$B$453,Resumen!$B47)</f>
        <v>0</v>
      </c>
      <c r="E47" s="76">
        <f>SUMIFS(BASE!$Q$3:$Q$453,BASE!$O$3:$O$453,Resumen!E$5,BASE!$B$3:$B$453,Resumen!$B47)</f>
        <v>0</v>
      </c>
      <c r="F47" s="76">
        <f>SUMIFS(BASE!$Q$3:$Q$453,BASE!$O$3:$O$453,Resumen!F$5,BASE!$B$3:$B$453,Resumen!$B47)</f>
        <v>0</v>
      </c>
      <c r="G47" s="76">
        <f>SUMIFS(BASE!$Q$3:$Q$453,BASE!$O$3:$O$453,Resumen!G$5,BASE!$B$3:$B$453,Resumen!$B47)</f>
        <v>0</v>
      </c>
      <c r="H47" s="76">
        <f>SUMIFS(BASE!$Q$3:$Q$453,BASE!$O$3:$O$453,Resumen!H$5,BASE!$B$3:$B$453,Resumen!$B47)</f>
        <v>0</v>
      </c>
      <c r="I47" s="76">
        <f>SUMIFS(BASE!$Q$3:$Q$453,BASE!$O$3:$O$453,Resumen!I$5,BASE!$B$3:$B$453,Resumen!$B47)</f>
        <v>0</v>
      </c>
      <c r="J47" s="76">
        <f>SUMIFS(BASE!$Q$3:$Q$453,BASE!$O$3:$O$453,Resumen!J$5,BASE!$B$3:$B$453,Resumen!$B47)</f>
        <v>0</v>
      </c>
      <c r="K47" s="76">
        <f>SUMIFS('Eventos B2B_MKT y Turnos DT'!$K$6:$K$456,'Eventos B2B_MKT y Turnos DT'!$D$6:$D$456,Resumen!$B47,'Eventos B2B_MKT y Turnos DT'!$G$6:$G$456,"B2B")</f>
        <v>0</v>
      </c>
      <c r="L47" s="76">
        <f>SUMIFS('Eventos B2B_MKT y Turnos DT'!$K$6:$K$456,'Eventos B2B_MKT y Turnos DT'!$D$6:$D$456,Resumen!$B47,'Eventos B2B_MKT y Turnos DT'!$G$6:$G$456,"Hotel")</f>
        <v>0</v>
      </c>
      <c r="M47" s="76">
        <f>SUMIFS('Eventos B2B_MKT y Turnos DT'!$K$6:$K$456,'Eventos B2B_MKT y Turnos DT'!$D$6:$D$456,Resumen!$B47,'Eventos B2B_MKT y Turnos DT'!$G$6:$G$456,"Marketing")</f>
        <v>0</v>
      </c>
      <c r="N47" s="76">
        <f>SUMIF(Incidencias!$E$4:$E$89,$B47,Incidencias!$K$4:$K$89)</f>
        <v>0</v>
      </c>
      <c r="O47" s="80">
        <f t="shared" si="2"/>
        <v>0</v>
      </c>
      <c r="P47" s="102">
        <v>57000</v>
      </c>
      <c r="Q47" s="102"/>
      <c r="R47" s="99">
        <f t="shared" si="5"/>
        <v>0</v>
      </c>
      <c r="S47" s="102">
        <f t="shared" si="3"/>
        <v>57000</v>
      </c>
      <c r="T47" s="89">
        <f t="shared" si="4"/>
        <v>0</v>
      </c>
      <c r="V47" s="132"/>
    </row>
    <row r="48" spans="2:23" hidden="1">
      <c r="B48" s="74" t="str">
        <f>Nómina!D45</f>
        <v>23019501-3</v>
      </c>
      <c r="C48" s="75" t="str">
        <f>Nómina!E45</f>
        <v>LEIDY ESPINOZA MONTOYA</v>
      </c>
      <c r="D48" s="76">
        <f>SUMIFS(BASE!$Q$3:$Q$453,BASE!$O$3:$O$453,Resumen!D$5,BASE!$B$3:$B$453,Resumen!$B48)</f>
        <v>0</v>
      </c>
      <c r="E48" s="76">
        <f>SUMIFS(BASE!$Q$3:$Q$453,BASE!$O$3:$O$453,Resumen!E$5,BASE!$B$3:$B$453,Resumen!$B48)</f>
        <v>0</v>
      </c>
      <c r="F48" s="76">
        <f>SUMIFS(BASE!$Q$3:$Q$453,BASE!$O$3:$O$453,Resumen!F$5,BASE!$B$3:$B$453,Resumen!$B48)</f>
        <v>0</v>
      </c>
      <c r="G48" s="76">
        <f>SUMIFS(BASE!$Q$3:$Q$453,BASE!$O$3:$O$453,Resumen!G$5,BASE!$B$3:$B$453,Resumen!$B48)</f>
        <v>0</v>
      </c>
      <c r="H48" s="76">
        <f>SUMIFS(BASE!$Q$3:$Q$453,BASE!$O$3:$O$453,Resumen!H$5,BASE!$B$3:$B$453,Resumen!$B48)</f>
        <v>0</v>
      </c>
      <c r="I48" s="76">
        <f>SUMIFS(BASE!$Q$3:$Q$453,BASE!$O$3:$O$453,Resumen!I$5,BASE!$B$3:$B$453,Resumen!$B48)</f>
        <v>0</v>
      </c>
      <c r="J48" s="76">
        <f>SUMIFS(BASE!$Q$3:$Q$453,BASE!$O$3:$O$453,Resumen!J$5,BASE!$B$3:$B$453,Resumen!$B48)</f>
        <v>0</v>
      </c>
      <c r="K48" s="76">
        <f>SUMIFS('Eventos B2B_MKT y Turnos DT'!$K$6:$K$456,'Eventos B2B_MKT y Turnos DT'!$D$6:$D$456,Resumen!$B48,'Eventos B2B_MKT y Turnos DT'!$G$6:$G$456,"B2B")</f>
        <v>0</v>
      </c>
      <c r="L48" s="76">
        <f>SUMIFS('Eventos B2B_MKT y Turnos DT'!$K$6:$K$456,'Eventos B2B_MKT y Turnos DT'!$D$6:$D$456,Resumen!$B48,'Eventos B2B_MKT y Turnos DT'!$G$6:$G$456,"Hotel")</f>
        <v>0</v>
      </c>
      <c r="M48" s="76">
        <f>SUMIFS('Eventos B2B_MKT y Turnos DT'!$K$6:$K$456,'Eventos B2B_MKT y Turnos DT'!$D$6:$D$456,Resumen!$B48,'Eventos B2B_MKT y Turnos DT'!$G$6:$G$456,"Marketing")</f>
        <v>0</v>
      </c>
      <c r="N48" s="76">
        <f>SUMIF(Incidencias!$E$4:$E$89,$B48,Incidencias!$K$4:$K$89)</f>
        <v>0</v>
      </c>
      <c r="O48" s="80">
        <f t="shared" si="2"/>
        <v>0</v>
      </c>
      <c r="P48" s="102">
        <v>13000</v>
      </c>
      <c r="Q48" s="102"/>
      <c r="R48" s="99">
        <f t="shared" si="5"/>
        <v>0</v>
      </c>
      <c r="S48" s="102">
        <f t="shared" si="3"/>
        <v>13000</v>
      </c>
      <c r="T48" s="89">
        <f t="shared" si="4"/>
        <v>0</v>
      </c>
      <c r="V48" s="132"/>
    </row>
    <row r="49" spans="2:23" hidden="1">
      <c r="B49" s="74" t="str">
        <f>Nómina!D46</f>
        <v>14565839-K</v>
      </c>
      <c r="C49" s="75" t="str">
        <f>Nómina!E46</f>
        <v>LILIANA ALEJANDRA FERNÁNDEZ ABARCA</v>
      </c>
      <c r="D49" s="76">
        <f>SUMIFS(BASE!$Q$3:$Q$453,BASE!$O$3:$O$453,Resumen!D$5,BASE!$B$3:$B$453,Resumen!$B49)</f>
        <v>0</v>
      </c>
      <c r="E49" s="76">
        <f>SUMIFS(BASE!$Q$3:$Q$453,BASE!$O$3:$O$453,Resumen!E$5,BASE!$B$3:$B$453,Resumen!$B49)</f>
        <v>0</v>
      </c>
      <c r="F49" s="76">
        <f>SUMIFS(BASE!$Q$3:$Q$453,BASE!$O$3:$O$453,Resumen!F$5,BASE!$B$3:$B$453,Resumen!$B49)</f>
        <v>0</v>
      </c>
      <c r="G49" s="76">
        <f>SUMIFS(BASE!$Q$3:$Q$453,BASE!$O$3:$O$453,Resumen!G$5,BASE!$B$3:$B$453,Resumen!$B49)</f>
        <v>0</v>
      </c>
      <c r="H49" s="76">
        <f>SUMIFS(BASE!$Q$3:$Q$453,BASE!$O$3:$O$453,Resumen!H$5,BASE!$B$3:$B$453,Resumen!$B49)</f>
        <v>0</v>
      </c>
      <c r="I49" s="76">
        <f>SUMIFS(BASE!$Q$3:$Q$453,BASE!$O$3:$O$453,Resumen!I$5,BASE!$B$3:$B$453,Resumen!$B49)</f>
        <v>0</v>
      </c>
      <c r="J49" s="76">
        <f>SUMIFS(BASE!$Q$3:$Q$453,BASE!$O$3:$O$453,Resumen!J$5,BASE!$B$3:$B$453,Resumen!$B49)</f>
        <v>0</v>
      </c>
      <c r="K49" s="76">
        <f>SUMIFS('Eventos B2B_MKT y Turnos DT'!$K$6:$K$456,'Eventos B2B_MKT y Turnos DT'!$D$6:$D$456,Resumen!$B49,'Eventos B2B_MKT y Turnos DT'!$G$6:$G$456,"B2B")</f>
        <v>0</v>
      </c>
      <c r="L49" s="76">
        <f>SUMIFS('Eventos B2B_MKT y Turnos DT'!$K$6:$K$456,'Eventos B2B_MKT y Turnos DT'!$D$6:$D$456,Resumen!$B49,'Eventos B2B_MKT y Turnos DT'!$G$6:$G$456,"Hotel")</f>
        <v>0</v>
      </c>
      <c r="M49" s="76">
        <f>SUMIFS('Eventos B2B_MKT y Turnos DT'!$K$6:$K$456,'Eventos B2B_MKT y Turnos DT'!$D$6:$D$456,Resumen!$B49,'Eventos B2B_MKT y Turnos DT'!$G$6:$G$456,"Marketing")</f>
        <v>0</v>
      </c>
      <c r="N49" s="76">
        <f>SUMIF(Incidencias!$E$4:$E$89,$B49,Incidencias!$K$4:$K$89)</f>
        <v>0</v>
      </c>
      <c r="O49" s="80">
        <f t="shared" si="2"/>
        <v>0</v>
      </c>
      <c r="P49" s="102">
        <v>0</v>
      </c>
      <c r="Q49" s="102"/>
      <c r="R49" s="99">
        <f t="shared" si="5"/>
        <v>0</v>
      </c>
      <c r="S49" s="102">
        <f t="shared" si="3"/>
        <v>0</v>
      </c>
      <c r="T49" s="89">
        <f t="shared" si="4"/>
        <v>0</v>
      </c>
      <c r="V49" s="132"/>
    </row>
    <row r="50" spans="2:23" ht="15" hidden="1">
      <c r="B50" s="74" t="str">
        <f>Nómina!D47</f>
        <v>16746463-7</v>
      </c>
      <c r="C50" s="75" t="str">
        <f>Nómina!E47</f>
        <v>LORENA ESPARZA AGUILAR</v>
      </c>
      <c r="D50" s="76">
        <f>SUMIFS(BASE!$Q$3:$Q$453,BASE!$O$3:$O$453,Resumen!D$5,BASE!$B$3:$B$453,Resumen!$B50)</f>
        <v>0</v>
      </c>
      <c r="E50" s="76">
        <f>SUMIFS(BASE!$Q$3:$Q$453,BASE!$O$3:$O$453,Resumen!E$5,BASE!$B$3:$B$453,Resumen!$B50)</f>
        <v>0</v>
      </c>
      <c r="F50" s="76">
        <f>SUMIFS(BASE!$Q$3:$Q$453,BASE!$O$3:$O$453,Resumen!F$5,BASE!$B$3:$B$453,Resumen!$B50)</f>
        <v>0</v>
      </c>
      <c r="G50" s="76">
        <f>SUMIFS(BASE!$Q$3:$Q$453,BASE!$O$3:$O$453,Resumen!G$5,BASE!$B$3:$B$453,Resumen!$B50)</f>
        <v>0</v>
      </c>
      <c r="H50" s="76">
        <f>SUMIFS(BASE!$Q$3:$Q$453,BASE!$O$3:$O$453,Resumen!H$5,BASE!$B$3:$B$453,Resumen!$B50)</f>
        <v>0</v>
      </c>
      <c r="I50" s="76">
        <f>SUMIFS(BASE!$Q$3:$Q$453,BASE!$O$3:$O$453,Resumen!I$5,BASE!$B$3:$B$453,Resumen!$B50)</f>
        <v>0</v>
      </c>
      <c r="J50" s="76">
        <f>SUMIFS(BASE!$Q$3:$Q$453,BASE!$O$3:$O$453,Resumen!J$5,BASE!$B$3:$B$453,Resumen!$B50)</f>
        <v>0</v>
      </c>
      <c r="K50" s="76">
        <f>SUMIFS('Eventos B2B_MKT y Turnos DT'!$K$6:$K$456,'Eventos B2B_MKT y Turnos DT'!$D$6:$D$456,Resumen!$B50,'Eventos B2B_MKT y Turnos DT'!$G$6:$G$456,"B2B")</f>
        <v>0</v>
      </c>
      <c r="L50" s="76">
        <f>SUMIFS('Eventos B2B_MKT y Turnos DT'!$K$6:$K$456,'Eventos B2B_MKT y Turnos DT'!$D$6:$D$456,Resumen!$B50,'Eventos B2B_MKT y Turnos DT'!$G$6:$G$456,"Hotel")</f>
        <v>0</v>
      </c>
      <c r="M50" s="76">
        <f>SUMIFS('Eventos B2B_MKT y Turnos DT'!$K$6:$K$456,'Eventos B2B_MKT y Turnos DT'!$D$6:$D$456,Resumen!$B50,'Eventos B2B_MKT y Turnos DT'!$G$6:$G$456,"Marketing")</f>
        <v>0</v>
      </c>
      <c r="N50" s="76">
        <f>SUMIF(Incidencias!$E$4:$E$89,$B50,Incidencias!$K$4:$K$89)</f>
        <v>0</v>
      </c>
      <c r="O50" s="80">
        <f t="shared" si="2"/>
        <v>0</v>
      </c>
      <c r="P50" s="102">
        <v>0</v>
      </c>
      <c r="Q50" s="102">
        <f>P50</f>
        <v>0</v>
      </c>
      <c r="R50" s="99">
        <f t="shared" si="5"/>
        <v>0</v>
      </c>
      <c r="S50" s="102">
        <f t="shared" si="3"/>
        <v>0</v>
      </c>
      <c r="T50" s="89">
        <f t="shared" si="4"/>
        <v>0</v>
      </c>
      <c r="U50" s="122" t="str">
        <f>+IF(O50*(1-0.1525)-Q50=T50,"OK","REVISAR")</f>
        <v>OK</v>
      </c>
      <c r="V50" s="132"/>
      <c r="W50" s="132"/>
    </row>
    <row r="51" spans="2:23" hidden="1">
      <c r="B51" s="74" t="str">
        <f>Nómina!D48</f>
        <v>19774861-3</v>
      </c>
      <c r="C51" s="75" t="str">
        <f>Nómina!E48</f>
        <v>LUCERO ALEXANDRA ZAVALA VILLARROEL</v>
      </c>
      <c r="D51" s="76">
        <f>SUMIFS(BASE!$Q$3:$Q$453,BASE!$O$3:$O$453,Resumen!D$5,BASE!$B$3:$B$453,Resumen!$B51)</f>
        <v>0</v>
      </c>
      <c r="E51" s="76">
        <f>SUMIFS(BASE!$Q$3:$Q$453,BASE!$O$3:$O$453,Resumen!E$5,BASE!$B$3:$B$453,Resumen!$B51)</f>
        <v>0</v>
      </c>
      <c r="F51" s="76">
        <f>SUMIFS(BASE!$Q$3:$Q$453,BASE!$O$3:$O$453,Resumen!F$5,BASE!$B$3:$B$453,Resumen!$B51)</f>
        <v>0</v>
      </c>
      <c r="G51" s="76">
        <f>SUMIFS(BASE!$Q$3:$Q$453,BASE!$O$3:$O$453,Resumen!G$5,BASE!$B$3:$B$453,Resumen!$B51)</f>
        <v>0</v>
      </c>
      <c r="H51" s="76">
        <f>SUMIFS(BASE!$Q$3:$Q$453,BASE!$O$3:$O$453,Resumen!H$5,BASE!$B$3:$B$453,Resumen!$B51)</f>
        <v>0</v>
      </c>
      <c r="I51" s="76">
        <f>SUMIFS(BASE!$Q$3:$Q$453,BASE!$O$3:$O$453,Resumen!I$5,BASE!$B$3:$B$453,Resumen!$B51)</f>
        <v>0</v>
      </c>
      <c r="J51" s="76">
        <f>SUMIFS(BASE!$Q$3:$Q$453,BASE!$O$3:$O$453,Resumen!J$5,BASE!$B$3:$B$453,Resumen!$B51)</f>
        <v>0</v>
      </c>
      <c r="K51" s="76">
        <f>SUMIFS('Eventos B2B_MKT y Turnos DT'!$K$6:$K$456,'Eventos B2B_MKT y Turnos DT'!$D$6:$D$456,Resumen!$B51,'Eventos B2B_MKT y Turnos DT'!$G$6:$G$456,"B2B")</f>
        <v>0</v>
      </c>
      <c r="L51" s="76">
        <f>SUMIFS('Eventos B2B_MKT y Turnos DT'!$K$6:$K$456,'Eventos B2B_MKT y Turnos DT'!$D$6:$D$456,Resumen!$B51,'Eventos B2B_MKT y Turnos DT'!$G$6:$G$456,"Hotel")</f>
        <v>0</v>
      </c>
      <c r="M51" s="76">
        <f>SUMIFS('Eventos B2B_MKT y Turnos DT'!$K$6:$K$456,'Eventos B2B_MKT y Turnos DT'!$D$6:$D$456,Resumen!$B51,'Eventos B2B_MKT y Turnos DT'!$G$6:$G$456,"Marketing")</f>
        <v>0</v>
      </c>
      <c r="N51" s="76">
        <f>SUMIF(Incidencias!$E$4:$E$89,$B51,Incidencias!$K$4:$K$89)</f>
        <v>0</v>
      </c>
      <c r="O51" s="80">
        <f t="shared" si="2"/>
        <v>0</v>
      </c>
      <c r="P51" s="102">
        <v>331260</v>
      </c>
      <c r="Q51" s="102"/>
      <c r="R51" s="99">
        <f t="shared" si="5"/>
        <v>0</v>
      </c>
      <c r="S51" s="102">
        <f t="shared" si="3"/>
        <v>331260</v>
      </c>
      <c r="T51" s="89">
        <f t="shared" si="4"/>
        <v>0</v>
      </c>
      <c r="V51" s="132"/>
    </row>
    <row r="52" spans="2:23" ht="15">
      <c r="B52" s="74" t="str">
        <f>Nómina!D49</f>
        <v>17325262-5</v>
      </c>
      <c r="C52" s="75" t="str">
        <f>Nómina!E49</f>
        <v>MACARENA SOFIA GONZALEZ BORQUEZ</v>
      </c>
      <c r="D52" s="76">
        <f>SUMIFS(BASE!$Q$3:$Q$453,BASE!$O$3:$O$453,Resumen!D$5,BASE!$B$3:$B$453,Resumen!$B52)</f>
        <v>0</v>
      </c>
      <c r="E52" s="76">
        <f>SUMIFS(BASE!$Q$3:$Q$453,BASE!$O$3:$O$453,Resumen!E$5,BASE!$B$3:$B$453,Resumen!$B52)</f>
        <v>0</v>
      </c>
      <c r="F52" s="76">
        <f>SUMIFS(BASE!$Q$3:$Q$453,BASE!$O$3:$O$453,Resumen!F$5,BASE!$B$3:$B$453,Resumen!$B52)</f>
        <v>0</v>
      </c>
      <c r="G52" s="76">
        <f>SUMIFS(BASE!$Q$3:$Q$453,BASE!$O$3:$O$453,Resumen!G$5,BASE!$B$3:$B$453,Resumen!$B52)</f>
        <v>0</v>
      </c>
      <c r="H52" s="76">
        <f>SUMIFS(BASE!$Q$3:$Q$453,BASE!$O$3:$O$453,Resumen!H$5,BASE!$B$3:$B$453,Resumen!$B52)</f>
        <v>0</v>
      </c>
      <c r="I52" s="76">
        <f>SUMIFS(BASE!$Q$3:$Q$453,BASE!$O$3:$O$453,Resumen!I$5,BASE!$B$3:$B$453,Resumen!$B52)</f>
        <v>0</v>
      </c>
      <c r="J52" s="76">
        <f>SUMIFS(BASE!$Q$3:$Q$453,BASE!$O$3:$O$453,Resumen!J$5,BASE!$B$3:$B$453,Resumen!$B52)</f>
        <v>48563</v>
      </c>
      <c r="K52" s="76">
        <f>SUMIFS('Eventos B2B_MKT y Turnos DT'!$K$6:$K$456,'Eventos B2B_MKT y Turnos DT'!$D$6:$D$456,Resumen!$B52,'Eventos B2B_MKT y Turnos DT'!$G$6:$G$456,"B2B")</f>
        <v>0</v>
      </c>
      <c r="L52" s="76">
        <f>SUMIFS('Eventos B2B_MKT y Turnos DT'!$K$6:$K$456,'Eventos B2B_MKT y Turnos DT'!$D$6:$D$456,Resumen!$B52,'Eventos B2B_MKT y Turnos DT'!$G$6:$G$456,"Hotel")</f>
        <v>0</v>
      </c>
      <c r="M52" s="76">
        <f>SUMIFS('Eventos B2B_MKT y Turnos DT'!$K$6:$K$456,'Eventos B2B_MKT y Turnos DT'!$D$6:$D$456,Resumen!$B52,'Eventos B2B_MKT y Turnos DT'!$G$6:$G$456,"Marketing")</f>
        <v>0</v>
      </c>
      <c r="N52" s="76">
        <f>SUMIF(Incidencias!$E$4:$E$89,$B52,Incidencias!$K$4:$K$89)</f>
        <v>0</v>
      </c>
      <c r="O52" s="80">
        <f t="shared" si="2"/>
        <v>48563</v>
      </c>
      <c r="P52" s="102">
        <v>15000</v>
      </c>
      <c r="Q52" s="102">
        <v>15000</v>
      </c>
      <c r="R52" s="99">
        <f t="shared" si="5"/>
        <v>0.30887712867821182</v>
      </c>
      <c r="S52" s="102">
        <f t="shared" si="3"/>
        <v>0</v>
      </c>
      <c r="T52" s="89">
        <f t="shared" si="4"/>
        <v>26157.142500000002</v>
      </c>
      <c r="U52" s="122" t="str">
        <f>+IF(O52*(1-0.1525)-Q52=T52,"OK","REVISAR")</f>
        <v>OK</v>
      </c>
      <c r="V52" s="132"/>
    </row>
    <row r="53" spans="2:23" ht="15" hidden="1">
      <c r="B53" s="74" t="str">
        <f>Nómina!D50</f>
        <v>17364919-3</v>
      </c>
      <c r="C53" s="75" t="str">
        <f>Nómina!E50</f>
        <v>MARCELA MATAMALA</v>
      </c>
      <c r="D53" s="76">
        <f>SUMIFS(BASE!$Q$3:$Q$453,BASE!$O$3:$O$453,Resumen!D$5,BASE!$B$3:$B$453,Resumen!$B53)</f>
        <v>0</v>
      </c>
      <c r="E53" s="76">
        <f>SUMIFS(BASE!$Q$3:$Q$453,BASE!$O$3:$O$453,Resumen!E$5,BASE!$B$3:$B$453,Resumen!$B53)</f>
        <v>0</v>
      </c>
      <c r="F53" s="76">
        <f>SUMIFS(BASE!$Q$3:$Q$453,BASE!$O$3:$O$453,Resumen!F$5,BASE!$B$3:$B$453,Resumen!$B53)</f>
        <v>0</v>
      </c>
      <c r="G53" s="76">
        <f>SUMIFS(BASE!$Q$3:$Q$453,BASE!$O$3:$O$453,Resumen!G$5,BASE!$B$3:$B$453,Resumen!$B53)</f>
        <v>0</v>
      </c>
      <c r="H53" s="76">
        <f>SUMIFS(BASE!$Q$3:$Q$453,BASE!$O$3:$O$453,Resumen!H$5,BASE!$B$3:$B$453,Resumen!$B53)</f>
        <v>0</v>
      </c>
      <c r="I53" s="76">
        <f>SUMIFS(BASE!$Q$3:$Q$453,BASE!$O$3:$O$453,Resumen!I$5,BASE!$B$3:$B$453,Resumen!$B53)</f>
        <v>0</v>
      </c>
      <c r="J53" s="76">
        <f>SUMIFS(BASE!$Q$3:$Q$453,BASE!$O$3:$O$453,Resumen!J$5,BASE!$B$3:$B$453,Resumen!$B53)</f>
        <v>0</v>
      </c>
      <c r="K53" s="76">
        <f>SUMIFS('Eventos B2B_MKT y Turnos DT'!$K$6:$K$456,'Eventos B2B_MKT y Turnos DT'!$D$6:$D$456,Resumen!$B53,'Eventos B2B_MKT y Turnos DT'!$G$6:$G$456,"B2B")</f>
        <v>0</v>
      </c>
      <c r="L53" s="76">
        <f>SUMIFS('Eventos B2B_MKT y Turnos DT'!$K$6:$K$456,'Eventos B2B_MKT y Turnos DT'!$D$6:$D$456,Resumen!$B53,'Eventos B2B_MKT y Turnos DT'!$G$6:$G$456,"Hotel")</f>
        <v>0</v>
      </c>
      <c r="M53" s="76">
        <f>SUMIFS('Eventos B2B_MKT y Turnos DT'!$K$6:$K$456,'Eventos B2B_MKT y Turnos DT'!$D$6:$D$456,Resumen!$B53,'Eventos B2B_MKT y Turnos DT'!$G$6:$G$456,"Marketing")</f>
        <v>0</v>
      </c>
      <c r="N53" s="76">
        <f>SUMIF(Incidencias!$E$4:$E$89,$B53,Incidencias!$K$4:$K$89)</f>
        <v>0</v>
      </c>
      <c r="O53" s="80">
        <f t="shared" si="2"/>
        <v>0</v>
      </c>
      <c r="P53" s="102">
        <v>0</v>
      </c>
      <c r="Q53" s="102"/>
      <c r="R53" s="99">
        <f t="shared" si="5"/>
        <v>0</v>
      </c>
      <c r="S53" s="102">
        <f t="shared" si="3"/>
        <v>0</v>
      </c>
      <c r="T53" s="89">
        <f t="shared" si="4"/>
        <v>0</v>
      </c>
      <c r="U53" s="122" t="str">
        <f t="shared" ref="U53:U55" si="13">+IF(O53*(1-0.1525)-Q53=T53,"OK","REVISAR")</f>
        <v>OK</v>
      </c>
      <c r="V53" s="132"/>
      <c r="W53" s="132"/>
    </row>
    <row r="54" spans="2:23" ht="15">
      <c r="B54" s="74" t="str">
        <f>Nómina!D51</f>
        <v>17003238-1</v>
      </c>
      <c r="C54" s="75" t="str">
        <f>Nómina!E51</f>
        <v>MARCIA ANGELICA VILLEGAS BARRIOS</v>
      </c>
      <c r="D54" s="76">
        <f>SUMIFS(BASE!$Q$3:$Q$453,BASE!$O$3:$O$453,Resumen!D$5,BASE!$B$3:$B$453,Resumen!$B54)</f>
        <v>55462</v>
      </c>
      <c r="E54" s="76">
        <f>SUMIFS(BASE!$Q$3:$Q$453,BASE!$O$3:$O$453,Resumen!E$5,BASE!$B$3:$B$453,Resumen!$B54)</f>
        <v>0</v>
      </c>
      <c r="F54" s="76">
        <f>SUMIFS(BASE!$Q$3:$Q$453,BASE!$O$3:$O$453,Resumen!F$5,BASE!$B$3:$B$453,Resumen!$B54)</f>
        <v>0</v>
      </c>
      <c r="G54" s="76">
        <f>SUMIFS(BASE!$Q$3:$Q$453,BASE!$O$3:$O$453,Resumen!G$5,BASE!$B$3:$B$453,Resumen!$B54)</f>
        <v>0</v>
      </c>
      <c r="H54" s="76">
        <f>SUMIFS(BASE!$Q$3:$Q$453,BASE!$O$3:$O$453,Resumen!H$5,BASE!$B$3:$B$453,Resumen!$B54)</f>
        <v>0</v>
      </c>
      <c r="I54" s="76">
        <f>SUMIFS(BASE!$Q$3:$Q$453,BASE!$O$3:$O$453,Resumen!I$5,BASE!$B$3:$B$453,Resumen!$B54)</f>
        <v>0</v>
      </c>
      <c r="J54" s="76">
        <f>SUMIFS(BASE!$Q$3:$Q$453,BASE!$O$3:$O$453,Resumen!J$5,BASE!$B$3:$B$453,Resumen!$B54)</f>
        <v>0</v>
      </c>
      <c r="K54" s="76">
        <f>SUMIFS('Eventos B2B_MKT y Turnos DT'!$K$6:$K$456,'Eventos B2B_MKT y Turnos DT'!$D$6:$D$456,Resumen!$B54,'Eventos B2B_MKT y Turnos DT'!$G$6:$G$456,"B2B")</f>
        <v>0</v>
      </c>
      <c r="L54" s="76">
        <f>SUMIFS('Eventos B2B_MKT y Turnos DT'!$K$6:$K$456,'Eventos B2B_MKT y Turnos DT'!$D$6:$D$456,Resumen!$B54,'Eventos B2B_MKT y Turnos DT'!$G$6:$G$456,"Hotel")</f>
        <v>0</v>
      </c>
      <c r="M54" s="76">
        <f>SUMIFS('Eventos B2B_MKT y Turnos DT'!$K$6:$K$456,'Eventos B2B_MKT y Turnos DT'!$D$6:$D$456,Resumen!$B54,'Eventos B2B_MKT y Turnos DT'!$G$6:$G$456,"Marketing")</f>
        <v>0</v>
      </c>
      <c r="N54" s="76">
        <f>SUMIF(Incidencias!$E$4:$E$89,$B54,Incidencias!$K$4:$K$89)</f>
        <v>0</v>
      </c>
      <c r="O54" s="80">
        <f t="shared" si="2"/>
        <v>55462</v>
      </c>
      <c r="P54" s="102">
        <v>0</v>
      </c>
      <c r="Q54" s="102">
        <f t="shared" ref="Q54:Q55" si="14">+IF(AND(P54&lt;&gt;0,P54&gt;O54*0.2),O54*0.2,P54)</f>
        <v>0</v>
      </c>
      <c r="R54" s="99">
        <f t="shared" si="5"/>
        <v>0</v>
      </c>
      <c r="S54" s="102">
        <f t="shared" si="3"/>
        <v>0</v>
      </c>
      <c r="T54" s="89">
        <f t="shared" si="4"/>
        <v>47004.044999999998</v>
      </c>
      <c r="U54" s="122" t="str">
        <f t="shared" si="13"/>
        <v>OK</v>
      </c>
      <c r="V54" s="132"/>
    </row>
    <row r="55" spans="2:23" ht="15">
      <c r="B55" s="74" t="str">
        <f>Nómina!D52</f>
        <v>15168787-3</v>
      </c>
      <c r="C55" s="75" t="str">
        <f>Nómina!E52</f>
        <v>MARIA ELIANA BENAVIDES HIGUERA </v>
      </c>
      <c r="D55" s="76">
        <f>SUMIFS(BASE!$Q$3:$Q$453,BASE!$O$3:$O$453,Resumen!D$5,BASE!$B$3:$B$453,Resumen!$B55)</f>
        <v>78151</v>
      </c>
      <c r="E55" s="76">
        <f>SUMIFS(BASE!$Q$3:$Q$453,BASE!$O$3:$O$453,Resumen!E$5,BASE!$B$3:$B$453,Resumen!$B55)</f>
        <v>0</v>
      </c>
      <c r="F55" s="76">
        <f>SUMIFS(BASE!$Q$3:$Q$453,BASE!$O$3:$O$453,Resumen!F$5,BASE!$B$3:$B$453,Resumen!$B55)</f>
        <v>89243</v>
      </c>
      <c r="G55" s="76">
        <f>SUMIFS(BASE!$Q$3:$Q$453,BASE!$O$3:$O$453,Resumen!G$5,BASE!$B$3:$B$453,Resumen!$B55)</f>
        <v>0</v>
      </c>
      <c r="H55" s="76">
        <f>SUMIFS(BASE!$Q$3:$Q$453,BASE!$O$3:$O$453,Resumen!H$5,BASE!$B$3:$B$453,Resumen!$B55)</f>
        <v>0</v>
      </c>
      <c r="I55" s="76">
        <f>SUMIFS(BASE!$Q$3:$Q$453,BASE!$O$3:$O$453,Resumen!I$5,BASE!$B$3:$B$453,Resumen!$B55)</f>
        <v>0</v>
      </c>
      <c r="J55" s="76">
        <f>SUMIFS(BASE!$Q$3:$Q$453,BASE!$O$3:$O$453,Resumen!J$5,BASE!$B$3:$B$453,Resumen!$B55)</f>
        <v>0</v>
      </c>
      <c r="K55" s="76">
        <f>SUMIFS('Eventos B2B_MKT y Turnos DT'!$K$6:$K$456,'Eventos B2B_MKT y Turnos DT'!$D$6:$D$456,Resumen!$B55,'Eventos B2B_MKT y Turnos DT'!$G$6:$G$456,"B2B")</f>
        <v>0</v>
      </c>
      <c r="L55" s="76">
        <f>SUMIFS('Eventos B2B_MKT y Turnos DT'!$K$6:$K$456,'Eventos B2B_MKT y Turnos DT'!$D$6:$D$456,Resumen!$B55,'Eventos B2B_MKT y Turnos DT'!$G$6:$G$456,"Hotel")</f>
        <v>0</v>
      </c>
      <c r="M55" s="76">
        <f>SUMIFS('Eventos B2B_MKT y Turnos DT'!$K$6:$K$456,'Eventos B2B_MKT y Turnos DT'!$D$6:$D$456,Resumen!$B55,'Eventos B2B_MKT y Turnos DT'!$G$6:$G$456,"Marketing")</f>
        <v>0</v>
      </c>
      <c r="N55" s="76">
        <f>SUMIF(Incidencias!$E$4:$E$89,$B55,Incidencias!$K$4:$K$89)</f>
        <v>0</v>
      </c>
      <c r="O55" s="80">
        <f t="shared" si="2"/>
        <v>167394</v>
      </c>
      <c r="P55" s="102">
        <v>0</v>
      </c>
      <c r="Q55" s="102">
        <f t="shared" si="14"/>
        <v>0</v>
      </c>
      <c r="R55" s="99">
        <f t="shared" si="5"/>
        <v>0</v>
      </c>
      <c r="S55" s="102">
        <f t="shared" si="3"/>
        <v>0</v>
      </c>
      <c r="T55" s="89">
        <f t="shared" si="4"/>
        <v>141866.41500000001</v>
      </c>
      <c r="U55" s="122" t="str">
        <f t="shared" si="13"/>
        <v>OK</v>
      </c>
      <c r="V55" s="132"/>
    </row>
    <row r="56" spans="2:23" ht="15" hidden="1">
      <c r="B56" s="74" t="str">
        <f>Nómina!D53</f>
        <v>18639536-0</v>
      </c>
      <c r="C56" s="75" t="str">
        <f>Nómina!E53</f>
        <v>MARIA FRANCISCA FREUNDT GOMEZ  </v>
      </c>
      <c r="D56" s="76">
        <f>SUMIFS(BASE!$Q$3:$Q$453,BASE!$O$3:$O$453,Resumen!D$5,BASE!$B$3:$B$453,Resumen!$B56)</f>
        <v>0</v>
      </c>
      <c r="E56" s="76">
        <f>SUMIFS(BASE!$Q$3:$Q$453,BASE!$O$3:$O$453,Resumen!E$5,BASE!$B$3:$B$453,Resumen!$B56)</f>
        <v>0</v>
      </c>
      <c r="F56" s="76">
        <f>SUMIFS(BASE!$Q$3:$Q$453,BASE!$O$3:$O$453,Resumen!F$5,BASE!$B$3:$B$453,Resumen!$B56)</f>
        <v>0</v>
      </c>
      <c r="G56" s="76">
        <f>SUMIFS(BASE!$Q$3:$Q$453,BASE!$O$3:$O$453,Resumen!G$5,BASE!$B$3:$B$453,Resumen!$B56)</f>
        <v>0</v>
      </c>
      <c r="H56" s="76">
        <f>SUMIFS(BASE!$Q$3:$Q$453,BASE!$O$3:$O$453,Resumen!H$5,BASE!$B$3:$B$453,Resumen!$B56)</f>
        <v>0</v>
      </c>
      <c r="I56" s="76">
        <f>SUMIFS(BASE!$Q$3:$Q$453,BASE!$O$3:$O$453,Resumen!I$5,BASE!$B$3:$B$453,Resumen!$B56)</f>
        <v>0</v>
      </c>
      <c r="J56" s="76">
        <f>SUMIFS(BASE!$Q$3:$Q$453,BASE!$O$3:$O$453,Resumen!J$5,BASE!$B$3:$B$453,Resumen!$B56)</f>
        <v>0</v>
      </c>
      <c r="K56" s="76">
        <f>SUMIFS('Eventos B2B_MKT y Turnos DT'!$K$6:$K$456,'Eventos B2B_MKT y Turnos DT'!$D$6:$D$456,Resumen!$B56,'Eventos B2B_MKT y Turnos DT'!$G$6:$G$456,"B2B")</f>
        <v>0</v>
      </c>
      <c r="L56" s="76">
        <f>SUMIFS('Eventos B2B_MKT y Turnos DT'!$K$6:$K$456,'Eventos B2B_MKT y Turnos DT'!$D$6:$D$456,Resumen!$B56,'Eventos B2B_MKT y Turnos DT'!$G$6:$G$456,"Hotel")</f>
        <v>0</v>
      </c>
      <c r="M56" s="76">
        <f>SUMIFS('Eventos B2B_MKT y Turnos DT'!$K$6:$K$456,'Eventos B2B_MKT y Turnos DT'!$D$6:$D$456,Resumen!$B56,'Eventos B2B_MKT y Turnos DT'!$G$6:$G$456,"Marketing")</f>
        <v>0</v>
      </c>
      <c r="N56" s="76">
        <f>SUMIF(Incidencias!$E$4:$E$89,$B56,Incidencias!$K$4:$K$89)</f>
        <v>0</v>
      </c>
      <c r="O56" s="80">
        <f t="shared" si="2"/>
        <v>0</v>
      </c>
      <c r="P56" s="102">
        <v>193999.57142857142</v>
      </c>
      <c r="Q56" s="102"/>
      <c r="R56" s="99">
        <f t="shared" si="5"/>
        <v>0</v>
      </c>
      <c r="S56" s="102">
        <f t="shared" si="3"/>
        <v>193999.57142857142</v>
      </c>
      <c r="T56" s="89">
        <f t="shared" si="4"/>
        <v>0</v>
      </c>
      <c r="U56" s="122" t="str">
        <f t="shared" ref="U56:U58" si="15">+IF(O56*(1-0.1525)-Q56=T56,"OK","REVISAR")</f>
        <v>OK</v>
      </c>
      <c r="V56" s="132"/>
      <c r="W56" s="132"/>
    </row>
    <row r="57" spans="2:23" ht="15">
      <c r="B57" s="74" t="str">
        <f>Nómina!D54</f>
        <v>17416146-1</v>
      </c>
      <c r="C57" s="75" t="str">
        <f>Nómina!E54</f>
        <v>MARIA JOSE BUSTOS PINCHULEF</v>
      </c>
      <c r="D57" s="76">
        <f>SUMIFS(BASE!$Q$3:$Q$453,BASE!$O$3:$O$453,Resumen!D$5,BASE!$B$3:$B$453,Resumen!$B57)</f>
        <v>0</v>
      </c>
      <c r="E57" s="76">
        <f>SUMIFS(BASE!$Q$3:$Q$453,BASE!$O$3:$O$453,Resumen!E$5,BASE!$B$3:$B$453,Resumen!$B57)</f>
        <v>0</v>
      </c>
      <c r="F57" s="76">
        <f>SUMIFS(BASE!$Q$3:$Q$453,BASE!$O$3:$O$453,Resumen!F$5,BASE!$B$3:$B$453,Resumen!$B57)</f>
        <v>0</v>
      </c>
      <c r="G57" s="76">
        <f>SUMIFS(BASE!$Q$3:$Q$453,BASE!$O$3:$O$453,Resumen!G$5,BASE!$B$3:$B$453,Resumen!$B57)</f>
        <v>0</v>
      </c>
      <c r="H57" s="76">
        <f>SUMIFS(BASE!$Q$3:$Q$453,BASE!$O$3:$O$453,Resumen!H$5,BASE!$B$3:$B$453,Resumen!$B57)</f>
        <v>0</v>
      </c>
      <c r="I57" s="76">
        <f>SUMIFS(BASE!$Q$3:$Q$453,BASE!$O$3:$O$453,Resumen!I$5,BASE!$B$3:$B$453,Resumen!$B57)</f>
        <v>0</v>
      </c>
      <c r="J57" s="76">
        <f>SUMIFS(BASE!$Q$3:$Q$453,BASE!$O$3:$O$453,Resumen!J$5,BASE!$B$3:$B$453,Resumen!$B57)</f>
        <v>0</v>
      </c>
      <c r="K57" s="76">
        <f>SUMIFS('Eventos B2B_MKT y Turnos DT'!$K$6:$K$456,'Eventos B2B_MKT y Turnos DT'!$D$6:$D$456,Resumen!$B57,'Eventos B2B_MKT y Turnos DT'!$G$6:$G$456,"B2B")</f>
        <v>0</v>
      </c>
      <c r="L57" s="76">
        <f>SUMIFS('Eventos B2B_MKT y Turnos DT'!$K$6:$K$456,'Eventos B2B_MKT y Turnos DT'!$D$6:$D$456,Resumen!$B57,'Eventos B2B_MKT y Turnos DT'!$G$6:$G$456,"Hotel")</f>
        <v>0</v>
      </c>
      <c r="M57" s="76">
        <f>SUMIFS('Eventos B2B_MKT y Turnos DT'!$K$6:$K$456,'Eventos B2B_MKT y Turnos DT'!$D$6:$D$456,Resumen!$B57,'Eventos B2B_MKT y Turnos DT'!$G$6:$G$456,"Marketing")</f>
        <v>0</v>
      </c>
      <c r="N57" s="76">
        <f>SUMIF(Incidencias!$E$4:$E$89,$B57,Incidencias!$K$4:$K$89)</f>
        <v>15000</v>
      </c>
      <c r="O57" s="80">
        <f t="shared" si="2"/>
        <v>15000</v>
      </c>
      <c r="P57" s="102">
        <v>111000</v>
      </c>
      <c r="Q57" s="102">
        <v>11000</v>
      </c>
      <c r="R57" s="99">
        <f t="shared" si="5"/>
        <v>0.73333333333333328</v>
      </c>
      <c r="S57" s="102">
        <f t="shared" si="3"/>
        <v>100000</v>
      </c>
      <c r="T57" s="89">
        <f>O57*(1-0.1525)-Q57</f>
        <v>1712.5</v>
      </c>
      <c r="U57" s="122" t="str">
        <f t="shared" si="15"/>
        <v>OK</v>
      </c>
      <c r="V57" s="132"/>
    </row>
    <row r="58" spans="2:23" ht="15">
      <c r="B58" s="74" t="str">
        <f>Nómina!D55</f>
        <v>13335240-6</v>
      </c>
      <c r="C58" s="75" t="str">
        <f>Nómina!E55</f>
        <v>MARIA MAGDALENA CASTRO MORGADO</v>
      </c>
      <c r="D58" s="76">
        <f>SUMIFS(BASE!$Q$3:$Q$453,BASE!$O$3:$O$453,Resumen!D$5,BASE!$B$3:$B$453,Resumen!$B58)</f>
        <v>144429</v>
      </c>
      <c r="E58" s="76">
        <f>SUMIFS(BASE!$Q$3:$Q$453,BASE!$O$3:$O$453,Resumen!E$5,BASE!$B$3:$B$453,Resumen!$B58)</f>
        <v>0</v>
      </c>
      <c r="F58" s="76">
        <f>SUMIFS(BASE!$Q$3:$Q$453,BASE!$O$3:$O$453,Resumen!F$5,BASE!$B$3:$B$453,Resumen!$B58)</f>
        <v>22689</v>
      </c>
      <c r="G58" s="76">
        <f>SUMIFS(BASE!$Q$3:$Q$453,BASE!$O$3:$O$453,Resumen!G$5,BASE!$B$3:$B$453,Resumen!$B58)</f>
        <v>0</v>
      </c>
      <c r="H58" s="76">
        <f>SUMIFS(BASE!$Q$3:$Q$453,BASE!$O$3:$O$453,Resumen!H$5,BASE!$B$3:$B$453,Resumen!$B58)</f>
        <v>0</v>
      </c>
      <c r="I58" s="76">
        <f>SUMIFS(BASE!$Q$3:$Q$453,BASE!$O$3:$O$453,Resumen!I$5,BASE!$B$3:$B$453,Resumen!$B58)</f>
        <v>0</v>
      </c>
      <c r="J58" s="76">
        <f>SUMIFS(BASE!$Q$3:$Q$453,BASE!$O$3:$O$453,Resumen!J$5,BASE!$B$3:$B$453,Resumen!$B58)</f>
        <v>0</v>
      </c>
      <c r="K58" s="76">
        <f>SUMIFS('Eventos B2B_MKT y Turnos DT'!$K$6:$K$456,'Eventos B2B_MKT y Turnos DT'!$D$6:$D$456,Resumen!$B58,'Eventos B2B_MKT y Turnos DT'!$G$6:$G$456,"B2B")</f>
        <v>0</v>
      </c>
      <c r="L58" s="76">
        <f>SUMIFS('Eventos B2B_MKT y Turnos DT'!$K$6:$K$456,'Eventos B2B_MKT y Turnos DT'!$D$6:$D$456,Resumen!$B58,'Eventos B2B_MKT y Turnos DT'!$G$6:$G$456,"Hotel")</f>
        <v>0</v>
      </c>
      <c r="M58" s="76">
        <f>SUMIFS('Eventos B2B_MKT y Turnos DT'!$K$6:$K$456,'Eventos B2B_MKT y Turnos DT'!$D$6:$D$456,Resumen!$B58,'Eventos B2B_MKT y Turnos DT'!$G$6:$G$456,"Marketing")</f>
        <v>0</v>
      </c>
      <c r="N58" s="76">
        <f>SUMIF(Incidencias!$E$4:$E$89,$B58,Incidencias!$K$4:$K$89)</f>
        <v>0</v>
      </c>
      <c r="O58" s="80">
        <f t="shared" si="2"/>
        <v>167118</v>
      </c>
      <c r="P58" s="102">
        <v>0</v>
      </c>
      <c r="Q58" s="102">
        <f t="shared" ref="Q58" si="16">+IF(AND(P58&lt;&gt;0,P58&gt;O58*0.2),O58*0.2,P58)</f>
        <v>0</v>
      </c>
      <c r="R58" s="99">
        <f t="shared" si="5"/>
        <v>0</v>
      </c>
      <c r="S58" s="102">
        <f t="shared" si="3"/>
        <v>0</v>
      </c>
      <c r="T58" s="89">
        <f t="shared" si="4"/>
        <v>141632.505</v>
      </c>
      <c r="U58" s="122" t="str">
        <f t="shared" si="15"/>
        <v>OK</v>
      </c>
      <c r="V58" s="132"/>
    </row>
    <row r="59" spans="2:23" ht="15" hidden="1">
      <c r="B59" s="74" t="str">
        <f>Nómina!D56</f>
        <v>22038238-9</v>
      </c>
      <c r="C59" s="75" t="str">
        <f>Nómina!E56</f>
        <v>MARIELA MITA GALLEGUILLOS</v>
      </c>
      <c r="D59" s="76">
        <f>SUMIFS(BASE!$Q$3:$Q$453,BASE!$O$3:$O$453,Resumen!D$5,BASE!$B$3:$B$453,Resumen!$B59)</f>
        <v>0</v>
      </c>
      <c r="E59" s="76">
        <f>SUMIFS(BASE!$Q$3:$Q$453,BASE!$O$3:$O$453,Resumen!E$5,BASE!$B$3:$B$453,Resumen!$B59)</f>
        <v>0</v>
      </c>
      <c r="F59" s="76">
        <f>SUMIFS(BASE!$Q$3:$Q$453,BASE!$O$3:$O$453,Resumen!F$5,BASE!$B$3:$B$453,Resumen!$B59)</f>
        <v>0</v>
      </c>
      <c r="G59" s="76">
        <f>SUMIFS(BASE!$Q$3:$Q$453,BASE!$O$3:$O$453,Resumen!G$5,BASE!$B$3:$B$453,Resumen!$B59)</f>
        <v>0</v>
      </c>
      <c r="H59" s="76">
        <f>SUMIFS(BASE!$Q$3:$Q$453,BASE!$O$3:$O$453,Resumen!H$5,BASE!$B$3:$B$453,Resumen!$B59)</f>
        <v>0</v>
      </c>
      <c r="I59" s="76">
        <f>SUMIFS(BASE!$Q$3:$Q$453,BASE!$O$3:$O$453,Resumen!I$5,BASE!$B$3:$B$453,Resumen!$B59)</f>
        <v>0</v>
      </c>
      <c r="J59" s="76">
        <f>SUMIFS(BASE!$Q$3:$Q$453,BASE!$O$3:$O$453,Resumen!J$5,BASE!$B$3:$B$453,Resumen!$B59)</f>
        <v>0</v>
      </c>
      <c r="K59" s="76">
        <f>SUMIFS('Eventos B2B_MKT y Turnos DT'!$K$6:$K$456,'Eventos B2B_MKT y Turnos DT'!$D$6:$D$456,Resumen!$B59,'Eventos B2B_MKT y Turnos DT'!$G$6:$G$456,"B2B")</f>
        <v>0</v>
      </c>
      <c r="L59" s="76">
        <f>SUMIFS('Eventos B2B_MKT y Turnos DT'!$K$6:$K$456,'Eventos B2B_MKT y Turnos DT'!$D$6:$D$456,Resumen!$B59,'Eventos B2B_MKT y Turnos DT'!$G$6:$G$456,"Hotel")</f>
        <v>0</v>
      </c>
      <c r="M59" s="76">
        <f>SUMIFS('Eventos B2B_MKT y Turnos DT'!$K$6:$K$456,'Eventos B2B_MKT y Turnos DT'!$D$6:$D$456,Resumen!$B59,'Eventos B2B_MKT y Turnos DT'!$G$6:$G$456,"Marketing")</f>
        <v>0</v>
      </c>
      <c r="N59" s="76">
        <f>SUMIF(Incidencias!$E$4:$E$89,$B59,Incidencias!$K$4:$K$89)</f>
        <v>0</v>
      </c>
      <c r="O59" s="80">
        <f t="shared" si="2"/>
        <v>0</v>
      </c>
      <c r="P59" s="102">
        <v>128400</v>
      </c>
      <c r="Q59" s="102">
        <v>14868.54</v>
      </c>
      <c r="R59" s="99">
        <f t="shared" si="5"/>
        <v>0</v>
      </c>
      <c r="S59" s="102">
        <f t="shared" si="3"/>
        <v>113531.45999999999</v>
      </c>
      <c r="T59" s="89">
        <f t="shared" si="4"/>
        <v>-14868.54</v>
      </c>
      <c r="U59" s="122" t="str">
        <f>+IF(O59*(1-0.1525)-Q59=T59,"OK","REVISAR")</f>
        <v>OK</v>
      </c>
      <c r="V59" s="132"/>
      <c r="W59" s="132"/>
    </row>
    <row r="60" spans="2:23" hidden="1">
      <c r="B60" s="74" t="str">
        <f>Nómina!D57</f>
        <v>19027666-K</v>
      </c>
      <c r="C60" s="75" t="str">
        <f>Nómina!E57</f>
        <v>MARTA SANHUEZA</v>
      </c>
      <c r="D60" s="76">
        <f>SUMIFS(BASE!$Q$3:$Q$453,BASE!$O$3:$O$453,Resumen!D$5,BASE!$B$3:$B$453,Resumen!$B60)</f>
        <v>0</v>
      </c>
      <c r="E60" s="76">
        <f>SUMIFS(BASE!$Q$3:$Q$453,BASE!$O$3:$O$453,Resumen!E$5,BASE!$B$3:$B$453,Resumen!$B60)</f>
        <v>0</v>
      </c>
      <c r="F60" s="76">
        <f>SUMIFS(BASE!$Q$3:$Q$453,BASE!$O$3:$O$453,Resumen!F$5,BASE!$B$3:$B$453,Resumen!$B60)</f>
        <v>0</v>
      </c>
      <c r="G60" s="76">
        <f>SUMIFS(BASE!$Q$3:$Q$453,BASE!$O$3:$O$453,Resumen!G$5,BASE!$B$3:$B$453,Resumen!$B60)</f>
        <v>0</v>
      </c>
      <c r="H60" s="76">
        <f>SUMIFS(BASE!$Q$3:$Q$453,BASE!$O$3:$O$453,Resumen!H$5,BASE!$B$3:$B$453,Resumen!$B60)</f>
        <v>0</v>
      </c>
      <c r="I60" s="76">
        <f>SUMIFS(BASE!$Q$3:$Q$453,BASE!$O$3:$O$453,Resumen!I$5,BASE!$B$3:$B$453,Resumen!$B60)</f>
        <v>0</v>
      </c>
      <c r="J60" s="76">
        <f>SUMIFS(BASE!$Q$3:$Q$453,BASE!$O$3:$O$453,Resumen!J$5,BASE!$B$3:$B$453,Resumen!$B60)</f>
        <v>0</v>
      </c>
      <c r="K60" s="76">
        <f>SUMIFS('Eventos B2B_MKT y Turnos DT'!$K$6:$K$456,'Eventos B2B_MKT y Turnos DT'!$D$6:$D$456,Resumen!$B60,'Eventos B2B_MKT y Turnos DT'!$G$6:$G$456,"B2B")</f>
        <v>0</v>
      </c>
      <c r="L60" s="76">
        <f>SUMIFS('Eventos B2B_MKT y Turnos DT'!$K$6:$K$456,'Eventos B2B_MKT y Turnos DT'!$D$6:$D$456,Resumen!$B60,'Eventos B2B_MKT y Turnos DT'!$G$6:$G$456,"Hotel")</f>
        <v>0</v>
      </c>
      <c r="M60" s="76">
        <f>SUMIFS('Eventos B2B_MKT y Turnos DT'!$K$6:$K$456,'Eventos B2B_MKT y Turnos DT'!$D$6:$D$456,Resumen!$B60,'Eventos B2B_MKT y Turnos DT'!$G$6:$G$456,"Marketing")</f>
        <v>0</v>
      </c>
      <c r="N60" s="76">
        <f>SUMIF(Incidencias!$E$4:$E$89,$B60,Incidencias!$K$4:$K$89)</f>
        <v>0</v>
      </c>
      <c r="O60" s="80">
        <f t="shared" si="2"/>
        <v>0</v>
      </c>
      <c r="P60" s="102">
        <v>0</v>
      </c>
      <c r="Q60" s="102"/>
      <c r="R60" s="99">
        <f t="shared" si="5"/>
        <v>0</v>
      </c>
      <c r="S60" s="102">
        <f t="shared" si="3"/>
        <v>0</v>
      </c>
      <c r="T60" s="89">
        <f t="shared" si="4"/>
        <v>0</v>
      </c>
      <c r="V60" s="132"/>
    </row>
    <row r="61" spans="2:23" ht="15" hidden="1">
      <c r="B61" s="74" t="str">
        <f>Nómina!D58</f>
        <v>20095435-1</v>
      </c>
      <c r="C61" s="75" t="str">
        <f>Nómina!E58</f>
        <v>MARTIN ALONSO QUINTEROS HENRIQUEZ</v>
      </c>
      <c r="D61" s="76">
        <f>SUMIFS(BASE!$Q$3:$Q$453,BASE!$O$3:$O$453,Resumen!D$5,BASE!$B$3:$B$453,Resumen!$B61)</f>
        <v>0</v>
      </c>
      <c r="E61" s="76">
        <f>SUMIFS(BASE!$Q$3:$Q$453,BASE!$O$3:$O$453,Resumen!E$5,BASE!$B$3:$B$453,Resumen!$B61)</f>
        <v>0</v>
      </c>
      <c r="F61" s="76">
        <f>SUMIFS(BASE!$Q$3:$Q$453,BASE!$O$3:$O$453,Resumen!F$5,BASE!$B$3:$B$453,Resumen!$B61)</f>
        <v>0</v>
      </c>
      <c r="G61" s="76">
        <f>SUMIFS(BASE!$Q$3:$Q$453,BASE!$O$3:$O$453,Resumen!G$5,BASE!$B$3:$B$453,Resumen!$B61)</f>
        <v>0</v>
      </c>
      <c r="H61" s="76">
        <f>SUMIFS(BASE!$Q$3:$Q$453,BASE!$O$3:$O$453,Resumen!H$5,BASE!$B$3:$B$453,Resumen!$B61)</f>
        <v>0</v>
      </c>
      <c r="I61" s="76">
        <f>SUMIFS(BASE!$Q$3:$Q$453,BASE!$O$3:$O$453,Resumen!I$5,BASE!$B$3:$B$453,Resumen!$B61)</f>
        <v>0</v>
      </c>
      <c r="J61" s="76">
        <f>SUMIFS(BASE!$Q$3:$Q$453,BASE!$O$3:$O$453,Resumen!J$5,BASE!$B$3:$B$453,Resumen!$B61)</f>
        <v>0</v>
      </c>
      <c r="K61" s="76">
        <f>SUMIFS('Eventos B2B_MKT y Turnos DT'!$K$6:$K$456,'Eventos B2B_MKT y Turnos DT'!$D$6:$D$456,Resumen!$B61,'Eventos B2B_MKT y Turnos DT'!$G$6:$G$456,"B2B")</f>
        <v>0</v>
      </c>
      <c r="L61" s="76">
        <f>SUMIFS('Eventos B2B_MKT y Turnos DT'!$K$6:$K$456,'Eventos B2B_MKT y Turnos DT'!$D$6:$D$456,Resumen!$B61,'Eventos B2B_MKT y Turnos DT'!$G$6:$G$456,"Hotel")</f>
        <v>0</v>
      </c>
      <c r="M61" s="76">
        <f>SUMIFS('Eventos B2B_MKT y Turnos DT'!$K$6:$K$456,'Eventos B2B_MKT y Turnos DT'!$D$6:$D$456,Resumen!$B61,'Eventos B2B_MKT y Turnos DT'!$G$6:$G$456,"Marketing")</f>
        <v>0</v>
      </c>
      <c r="N61" s="76">
        <f>SUMIF(Incidencias!$E$4:$E$89,$B61,Incidencias!$K$4:$K$89)</f>
        <v>0</v>
      </c>
      <c r="O61" s="80">
        <f t="shared" si="2"/>
        <v>0</v>
      </c>
      <c r="P61" s="102">
        <v>212631.46</v>
      </c>
      <c r="Q61" s="102">
        <v>21500</v>
      </c>
      <c r="R61" s="99">
        <f t="shared" si="5"/>
        <v>0</v>
      </c>
      <c r="S61" s="102">
        <f t="shared" si="3"/>
        <v>191131.46</v>
      </c>
      <c r="T61" s="89">
        <f t="shared" si="4"/>
        <v>-21500</v>
      </c>
      <c r="U61" s="122" t="str">
        <f>+IF(O61*(1-0.1525)-Q61=T61,"OK","REVISAR")</f>
        <v>OK</v>
      </c>
      <c r="V61" s="132"/>
      <c r="W61" s="132"/>
    </row>
    <row r="62" spans="2:23" hidden="1">
      <c r="B62" s="74" t="str">
        <f>Nómina!D59</f>
        <v>9271701-1</v>
      </c>
      <c r="C62" s="75" t="str">
        <f>Nómina!E59</f>
        <v>MAURICIO SANTIAGO CABRERA MALDONADO</v>
      </c>
      <c r="D62" s="76">
        <f>SUMIFS(BASE!$Q$3:$Q$453,BASE!$O$3:$O$453,Resumen!D$5,BASE!$B$3:$B$453,Resumen!$B62)</f>
        <v>0</v>
      </c>
      <c r="E62" s="76">
        <f>SUMIFS(BASE!$Q$3:$Q$453,BASE!$O$3:$O$453,Resumen!E$5,BASE!$B$3:$B$453,Resumen!$B62)</f>
        <v>0</v>
      </c>
      <c r="F62" s="76">
        <f>SUMIFS(BASE!$Q$3:$Q$453,BASE!$O$3:$O$453,Resumen!F$5,BASE!$B$3:$B$453,Resumen!$B62)</f>
        <v>0</v>
      </c>
      <c r="G62" s="76">
        <f>SUMIFS(BASE!$Q$3:$Q$453,BASE!$O$3:$O$453,Resumen!G$5,BASE!$B$3:$B$453,Resumen!$B62)</f>
        <v>0</v>
      </c>
      <c r="H62" s="76">
        <f>SUMIFS(BASE!$Q$3:$Q$453,BASE!$O$3:$O$453,Resumen!H$5,BASE!$B$3:$B$453,Resumen!$B62)</f>
        <v>0</v>
      </c>
      <c r="I62" s="76">
        <f>SUMIFS(BASE!$Q$3:$Q$453,BASE!$O$3:$O$453,Resumen!I$5,BASE!$B$3:$B$453,Resumen!$B62)</f>
        <v>0</v>
      </c>
      <c r="J62" s="76">
        <f>SUMIFS(BASE!$Q$3:$Q$453,BASE!$O$3:$O$453,Resumen!J$5,BASE!$B$3:$B$453,Resumen!$B62)</f>
        <v>0</v>
      </c>
      <c r="K62" s="76">
        <f>SUMIFS('Eventos B2B_MKT y Turnos DT'!$K$6:$K$456,'Eventos B2B_MKT y Turnos DT'!$D$6:$D$456,Resumen!$B62,'Eventos B2B_MKT y Turnos DT'!$G$6:$G$456,"B2B")</f>
        <v>0</v>
      </c>
      <c r="L62" s="76">
        <f>SUMIFS('Eventos B2B_MKT y Turnos DT'!$K$6:$K$456,'Eventos B2B_MKT y Turnos DT'!$D$6:$D$456,Resumen!$B62,'Eventos B2B_MKT y Turnos DT'!$G$6:$G$456,"Hotel")</f>
        <v>0</v>
      </c>
      <c r="M62" s="76">
        <f>SUMIFS('Eventos B2B_MKT y Turnos DT'!$K$6:$K$456,'Eventos B2B_MKT y Turnos DT'!$D$6:$D$456,Resumen!$B62,'Eventos B2B_MKT y Turnos DT'!$G$6:$G$456,"Marketing")</f>
        <v>0</v>
      </c>
      <c r="N62" s="76">
        <f>SUMIF(Incidencias!$E$4:$E$89,$B62,Incidencias!$K$4:$K$89)</f>
        <v>0</v>
      </c>
      <c r="O62" s="80">
        <f t="shared" si="2"/>
        <v>0</v>
      </c>
      <c r="P62" s="102">
        <v>45000</v>
      </c>
      <c r="Q62" s="102"/>
      <c r="R62" s="99">
        <f t="shared" si="5"/>
        <v>0</v>
      </c>
      <c r="S62" s="102">
        <f t="shared" si="3"/>
        <v>45000</v>
      </c>
      <c r="T62" s="89">
        <f t="shared" si="4"/>
        <v>0</v>
      </c>
      <c r="V62" s="132"/>
    </row>
    <row r="63" spans="2:23" ht="15" hidden="1">
      <c r="B63" s="74" t="str">
        <f>Nómina!D60</f>
        <v>25541617-0</v>
      </c>
      <c r="C63" s="75" t="str">
        <f>Nómina!E60</f>
        <v>NANCY TIEMPO LEONGAS</v>
      </c>
      <c r="D63" s="76">
        <f>SUMIFS(BASE!$Q$3:$Q$453,BASE!$O$3:$O$453,Resumen!D$5,BASE!$B$3:$B$453,Resumen!$B63)</f>
        <v>0</v>
      </c>
      <c r="E63" s="76">
        <f>SUMIFS(BASE!$Q$3:$Q$453,BASE!$O$3:$O$453,Resumen!E$5,BASE!$B$3:$B$453,Resumen!$B63)</f>
        <v>0</v>
      </c>
      <c r="F63" s="76">
        <f>SUMIFS(BASE!$Q$3:$Q$453,BASE!$O$3:$O$453,Resumen!F$5,BASE!$B$3:$B$453,Resumen!$B63)</f>
        <v>0</v>
      </c>
      <c r="G63" s="76">
        <f>SUMIFS(BASE!$Q$3:$Q$453,BASE!$O$3:$O$453,Resumen!G$5,BASE!$B$3:$B$453,Resumen!$B63)</f>
        <v>0</v>
      </c>
      <c r="H63" s="76">
        <f>SUMIFS(BASE!$Q$3:$Q$453,BASE!$O$3:$O$453,Resumen!H$5,BASE!$B$3:$B$453,Resumen!$B63)</f>
        <v>0</v>
      </c>
      <c r="I63" s="76">
        <f>SUMIFS(BASE!$Q$3:$Q$453,BASE!$O$3:$O$453,Resumen!I$5,BASE!$B$3:$B$453,Resumen!$B63)</f>
        <v>0</v>
      </c>
      <c r="J63" s="76">
        <f>SUMIFS(BASE!$Q$3:$Q$453,BASE!$O$3:$O$453,Resumen!J$5,BASE!$B$3:$B$453,Resumen!$B63)</f>
        <v>0</v>
      </c>
      <c r="K63" s="76">
        <f>SUMIFS('Eventos B2B_MKT y Turnos DT'!$K$6:$K$456,'Eventos B2B_MKT y Turnos DT'!$D$6:$D$456,Resumen!$B63,'Eventos B2B_MKT y Turnos DT'!$G$6:$G$456,"B2B")</f>
        <v>0</v>
      </c>
      <c r="L63" s="76">
        <f>SUMIFS('Eventos B2B_MKT y Turnos DT'!$K$6:$K$456,'Eventos B2B_MKT y Turnos DT'!$D$6:$D$456,Resumen!$B63,'Eventos B2B_MKT y Turnos DT'!$G$6:$G$456,"Hotel")</f>
        <v>0</v>
      </c>
      <c r="M63" s="76">
        <f>SUMIFS('Eventos B2B_MKT y Turnos DT'!$K$6:$K$456,'Eventos B2B_MKT y Turnos DT'!$D$6:$D$456,Resumen!$B63,'Eventos B2B_MKT y Turnos DT'!$G$6:$G$456,"Marketing")</f>
        <v>0</v>
      </c>
      <c r="N63" s="76">
        <f>SUMIF(Incidencias!$E$4:$E$89,$B63,Incidencias!$K$4:$K$89)</f>
        <v>0</v>
      </c>
      <c r="O63" s="80">
        <f t="shared" si="2"/>
        <v>0</v>
      </c>
      <c r="P63" s="102">
        <v>0</v>
      </c>
      <c r="Q63" s="102">
        <f>+IF(AND(P63&lt;&gt;0,P63&gt;O63*0.2),O63*0.2,P63)</f>
        <v>0</v>
      </c>
      <c r="R63" s="99">
        <f t="shared" si="5"/>
        <v>0</v>
      </c>
      <c r="S63" s="102">
        <f t="shared" si="3"/>
        <v>0</v>
      </c>
      <c r="T63" s="89">
        <f t="shared" si="4"/>
        <v>0</v>
      </c>
      <c r="U63" s="122" t="str">
        <f>+IF(O63*(1-0.1525)-Q63=T63,"OK","REVISAR")</f>
        <v>OK</v>
      </c>
      <c r="V63" s="132"/>
    </row>
    <row r="64" spans="2:23" hidden="1">
      <c r="B64" s="74" t="str">
        <f>Nómina!D61</f>
        <v>26510057-0</v>
      </c>
      <c r="C64" s="75" t="str">
        <f>Nómina!E61</f>
        <v>NASTACHA ADELHEI VILLAMIZAR GU </v>
      </c>
      <c r="D64" s="76">
        <f>SUMIFS(BASE!$Q$3:$Q$453,BASE!$O$3:$O$453,Resumen!D$5,BASE!$B$3:$B$453,Resumen!$B64)</f>
        <v>0</v>
      </c>
      <c r="E64" s="76">
        <f>SUMIFS(BASE!$Q$3:$Q$453,BASE!$O$3:$O$453,Resumen!E$5,BASE!$B$3:$B$453,Resumen!$B64)</f>
        <v>0</v>
      </c>
      <c r="F64" s="76">
        <f>SUMIFS(BASE!$Q$3:$Q$453,BASE!$O$3:$O$453,Resumen!F$5,BASE!$B$3:$B$453,Resumen!$B64)</f>
        <v>0</v>
      </c>
      <c r="G64" s="76">
        <f>SUMIFS(BASE!$Q$3:$Q$453,BASE!$O$3:$O$453,Resumen!G$5,BASE!$B$3:$B$453,Resumen!$B64)</f>
        <v>0</v>
      </c>
      <c r="H64" s="76">
        <f>SUMIFS(BASE!$Q$3:$Q$453,BASE!$O$3:$O$453,Resumen!H$5,BASE!$B$3:$B$453,Resumen!$B64)</f>
        <v>0</v>
      </c>
      <c r="I64" s="76">
        <f>SUMIFS(BASE!$Q$3:$Q$453,BASE!$O$3:$O$453,Resumen!I$5,BASE!$B$3:$B$453,Resumen!$B64)</f>
        <v>0</v>
      </c>
      <c r="J64" s="76">
        <f>SUMIFS(BASE!$Q$3:$Q$453,BASE!$O$3:$O$453,Resumen!J$5,BASE!$B$3:$B$453,Resumen!$B64)</f>
        <v>0</v>
      </c>
      <c r="K64" s="76">
        <f>SUMIFS('Eventos B2B_MKT y Turnos DT'!$K$6:$K$456,'Eventos B2B_MKT y Turnos DT'!$D$6:$D$456,Resumen!$B64,'Eventos B2B_MKT y Turnos DT'!$G$6:$G$456,"B2B")</f>
        <v>0</v>
      </c>
      <c r="L64" s="76">
        <f>SUMIFS('Eventos B2B_MKT y Turnos DT'!$K$6:$K$456,'Eventos B2B_MKT y Turnos DT'!$D$6:$D$456,Resumen!$B64,'Eventos B2B_MKT y Turnos DT'!$G$6:$G$456,"Hotel")</f>
        <v>0</v>
      </c>
      <c r="M64" s="76">
        <f>SUMIFS('Eventos B2B_MKT y Turnos DT'!$K$6:$K$456,'Eventos B2B_MKT y Turnos DT'!$D$6:$D$456,Resumen!$B64,'Eventos B2B_MKT y Turnos DT'!$G$6:$G$456,"Marketing")</f>
        <v>0</v>
      </c>
      <c r="N64" s="76">
        <f>SUMIF(Incidencias!$E$4:$E$89,$B64,Incidencias!$K$4:$K$89)</f>
        <v>0</v>
      </c>
      <c r="O64" s="80">
        <f t="shared" si="2"/>
        <v>0</v>
      </c>
      <c r="P64" s="102">
        <v>0</v>
      </c>
      <c r="Q64" s="102"/>
      <c r="R64" s="99">
        <f t="shared" si="5"/>
        <v>0</v>
      </c>
      <c r="S64" s="102">
        <f t="shared" si="3"/>
        <v>0</v>
      </c>
      <c r="T64" s="89">
        <f t="shared" si="4"/>
        <v>0</v>
      </c>
      <c r="V64" s="132"/>
    </row>
    <row r="65" spans="2:23" hidden="1">
      <c r="B65" s="74" t="str">
        <f>Nómina!D62</f>
        <v>12051775-9</v>
      </c>
      <c r="C65" s="75" t="str">
        <f>Nómina!E62</f>
        <v>NATALIA OLMEDO</v>
      </c>
      <c r="D65" s="76">
        <f>SUMIFS(BASE!$Q$3:$Q$453,BASE!$O$3:$O$453,Resumen!D$5,BASE!$B$3:$B$453,Resumen!$B65)</f>
        <v>0</v>
      </c>
      <c r="E65" s="76">
        <f>SUMIFS(BASE!$Q$3:$Q$453,BASE!$O$3:$O$453,Resumen!E$5,BASE!$B$3:$B$453,Resumen!$B65)</f>
        <v>0</v>
      </c>
      <c r="F65" s="76">
        <f>SUMIFS(BASE!$Q$3:$Q$453,BASE!$O$3:$O$453,Resumen!F$5,BASE!$B$3:$B$453,Resumen!$B65)</f>
        <v>0</v>
      </c>
      <c r="G65" s="76">
        <f>SUMIFS(BASE!$Q$3:$Q$453,BASE!$O$3:$O$453,Resumen!G$5,BASE!$B$3:$B$453,Resumen!$B65)</f>
        <v>0</v>
      </c>
      <c r="H65" s="76">
        <f>SUMIFS(BASE!$Q$3:$Q$453,BASE!$O$3:$O$453,Resumen!H$5,BASE!$B$3:$B$453,Resumen!$B65)</f>
        <v>0</v>
      </c>
      <c r="I65" s="76">
        <f>SUMIFS(BASE!$Q$3:$Q$453,BASE!$O$3:$O$453,Resumen!I$5,BASE!$B$3:$B$453,Resumen!$B65)</f>
        <v>0</v>
      </c>
      <c r="J65" s="76">
        <f>SUMIFS(BASE!$Q$3:$Q$453,BASE!$O$3:$O$453,Resumen!J$5,BASE!$B$3:$B$453,Resumen!$B65)</f>
        <v>0</v>
      </c>
      <c r="K65" s="76">
        <f>SUMIFS('Eventos B2B_MKT y Turnos DT'!$K$6:$K$456,'Eventos B2B_MKT y Turnos DT'!$D$6:$D$456,Resumen!$B65,'Eventos B2B_MKT y Turnos DT'!$G$6:$G$456,"B2B")</f>
        <v>0</v>
      </c>
      <c r="L65" s="76">
        <f>SUMIFS('Eventos B2B_MKT y Turnos DT'!$K$6:$K$456,'Eventos B2B_MKT y Turnos DT'!$D$6:$D$456,Resumen!$B65,'Eventos B2B_MKT y Turnos DT'!$G$6:$G$456,"Hotel")</f>
        <v>0</v>
      </c>
      <c r="M65" s="76">
        <f>SUMIFS('Eventos B2B_MKT y Turnos DT'!$K$6:$K$456,'Eventos B2B_MKT y Turnos DT'!$D$6:$D$456,Resumen!$B65,'Eventos B2B_MKT y Turnos DT'!$G$6:$G$456,"Marketing")</f>
        <v>0</v>
      </c>
      <c r="N65" s="76">
        <f>SUMIF(Incidencias!$E$4:$E$89,$B65,Incidencias!$K$4:$K$89)</f>
        <v>0</v>
      </c>
      <c r="O65" s="80">
        <f t="shared" si="2"/>
        <v>0</v>
      </c>
      <c r="P65" s="102">
        <v>68500</v>
      </c>
      <c r="Q65" s="102"/>
      <c r="R65" s="99">
        <f t="shared" si="5"/>
        <v>0</v>
      </c>
      <c r="S65" s="102">
        <f t="shared" si="3"/>
        <v>68500</v>
      </c>
      <c r="T65" s="89">
        <f t="shared" si="4"/>
        <v>0</v>
      </c>
      <c r="V65" s="132"/>
    </row>
    <row r="66" spans="2:23" ht="15" hidden="1">
      <c r="B66" s="74" t="str">
        <f>Nómina!D63</f>
        <v>16371373-K</v>
      </c>
      <c r="C66" s="75" t="str">
        <f>Nómina!E63</f>
        <v>NATALIA VALERIA CRUZ ESCARATE  </v>
      </c>
      <c r="D66" s="76">
        <f>SUMIFS(BASE!$Q$3:$Q$453,BASE!$O$3:$O$453,Resumen!D$5,BASE!$B$3:$B$453,Resumen!$B66)</f>
        <v>0</v>
      </c>
      <c r="E66" s="76">
        <f>SUMIFS(BASE!$Q$3:$Q$453,BASE!$O$3:$O$453,Resumen!E$5,BASE!$B$3:$B$453,Resumen!$B66)</f>
        <v>0</v>
      </c>
      <c r="F66" s="76">
        <f>SUMIFS(BASE!$Q$3:$Q$453,BASE!$O$3:$O$453,Resumen!F$5,BASE!$B$3:$B$453,Resumen!$B66)</f>
        <v>0</v>
      </c>
      <c r="G66" s="76">
        <f>SUMIFS(BASE!$Q$3:$Q$453,BASE!$O$3:$O$453,Resumen!G$5,BASE!$B$3:$B$453,Resumen!$B66)</f>
        <v>0</v>
      </c>
      <c r="H66" s="76">
        <f>SUMIFS(BASE!$Q$3:$Q$453,BASE!$O$3:$O$453,Resumen!H$5,BASE!$B$3:$B$453,Resumen!$B66)</f>
        <v>0</v>
      </c>
      <c r="I66" s="76">
        <f>SUMIFS(BASE!$Q$3:$Q$453,BASE!$O$3:$O$453,Resumen!I$5,BASE!$B$3:$B$453,Resumen!$B66)</f>
        <v>0</v>
      </c>
      <c r="J66" s="76">
        <f>SUMIFS(BASE!$Q$3:$Q$453,BASE!$O$3:$O$453,Resumen!J$5,BASE!$B$3:$B$453,Resumen!$B66)</f>
        <v>0</v>
      </c>
      <c r="K66" s="76">
        <f>SUMIFS('Eventos B2B_MKT y Turnos DT'!$K$6:$K$456,'Eventos B2B_MKT y Turnos DT'!$D$6:$D$456,Resumen!$B66,'Eventos B2B_MKT y Turnos DT'!$G$6:$G$456,"B2B")</f>
        <v>0</v>
      </c>
      <c r="L66" s="76">
        <f>SUMIFS('Eventos B2B_MKT y Turnos DT'!$K$6:$K$456,'Eventos B2B_MKT y Turnos DT'!$D$6:$D$456,Resumen!$B66,'Eventos B2B_MKT y Turnos DT'!$G$6:$G$456,"Hotel")</f>
        <v>0</v>
      </c>
      <c r="M66" s="76">
        <f>SUMIFS('Eventos B2B_MKT y Turnos DT'!$K$6:$K$456,'Eventos B2B_MKT y Turnos DT'!$D$6:$D$456,Resumen!$B66,'Eventos B2B_MKT y Turnos DT'!$G$6:$G$456,"Marketing")</f>
        <v>0</v>
      </c>
      <c r="N66" s="76">
        <f>SUMIF(Incidencias!$E$4:$E$89,$B66,Incidencias!$K$4:$K$89)</f>
        <v>0</v>
      </c>
      <c r="O66" s="80">
        <f t="shared" si="2"/>
        <v>0</v>
      </c>
      <c r="P66" s="102">
        <v>2000</v>
      </c>
      <c r="Q66" s="102"/>
      <c r="R66" s="99">
        <f t="shared" si="5"/>
        <v>0</v>
      </c>
      <c r="S66" s="102">
        <f t="shared" si="3"/>
        <v>2000</v>
      </c>
      <c r="T66" s="89">
        <f t="shared" si="4"/>
        <v>0</v>
      </c>
      <c r="U66" s="122" t="str">
        <f t="shared" ref="U66:U71" si="17">+IF(O66*(1-0.1525)-Q66=T66,"OK","REVISAR")</f>
        <v>OK</v>
      </c>
      <c r="V66" s="132"/>
      <c r="W66" s="132"/>
    </row>
    <row r="67" spans="2:23" ht="15" hidden="1">
      <c r="B67" s="74" t="str">
        <f>Nómina!D64</f>
        <v>16265769-0</v>
      </c>
      <c r="C67" s="75" t="str">
        <f>Nómina!E64</f>
        <v>NATHALY MARIANELA VALENZUELA ORELLANA</v>
      </c>
      <c r="D67" s="76">
        <f>SUMIFS(BASE!$Q$3:$Q$453,BASE!$O$3:$O$453,Resumen!D$5,BASE!$B$3:$B$453,Resumen!$B67)</f>
        <v>0</v>
      </c>
      <c r="E67" s="76">
        <f>SUMIFS(BASE!$Q$3:$Q$453,BASE!$O$3:$O$453,Resumen!E$5,BASE!$B$3:$B$453,Resumen!$B67)</f>
        <v>0</v>
      </c>
      <c r="F67" s="76">
        <f>SUMIFS(BASE!$Q$3:$Q$453,BASE!$O$3:$O$453,Resumen!F$5,BASE!$B$3:$B$453,Resumen!$B67)</f>
        <v>0</v>
      </c>
      <c r="G67" s="76">
        <f>SUMIFS(BASE!$Q$3:$Q$453,BASE!$O$3:$O$453,Resumen!G$5,BASE!$B$3:$B$453,Resumen!$B67)</f>
        <v>0</v>
      </c>
      <c r="H67" s="76">
        <f>SUMIFS(BASE!$Q$3:$Q$453,BASE!$O$3:$O$453,Resumen!H$5,BASE!$B$3:$B$453,Resumen!$B67)</f>
        <v>0</v>
      </c>
      <c r="I67" s="76">
        <f>SUMIFS(BASE!$Q$3:$Q$453,BASE!$O$3:$O$453,Resumen!I$5,BASE!$B$3:$B$453,Resumen!$B67)</f>
        <v>0</v>
      </c>
      <c r="J67" s="76">
        <f>SUMIFS(BASE!$Q$3:$Q$453,BASE!$O$3:$O$453,Resumen!J$5,BASE!$B$3:$B$453,Resumen!$B67)</f>
        <v>0</v>
      </c>
      <c r="K67" s="76">
        <f>SUMIFS('Eventos B2B_MKT y Turnos DT'!$K$6:$K$456,'Eventos B2B_MKT y Turnos DT'!$D$6:$D$456,Resumen!$B67,'Eventos B2B_MKT y Turnos DT'!$G$6:$G$456,"B2B")</f>
        <v>0</v>
      </c>
      <c r="L67" s="76">
        <f>SUMIFS('Eventos B2B_MKT y Turnos DT'!$K$6:$K$456,'Eventos B2B_MKT y Turnos DT'!$D$6:$D$456,Resumen!$B67,'Eventos B2B_MKT y Turnos DT'!$G$6:$G$456,"Hotel")</f>
        <v>0</v>
      </c>
      <c r="M67" s="76">
        <f>SUMIFS('Eventos B2B_MKT y Turnos DT'!$K$6:$K$456,'Eventos B2B_MKT y Turnos DT'!$D$6:$D$456,Resumen!$B67,'Eventos B2B_MKT y Turnos DT'!$G$6:$G$456,"Marketing")</f>
        <v>0</v>
      </c>
      <c r="N67" s="76">
        <f>SUMIF(Incidencias!$E$4:$E$89,$B67,Incidencias!$K$4:$K$89)</f>
        <v>0</v>
      </c>
      <c r="O67" s="80">
        <f t="shared" si="2"/>
        <v>0</v>
      </c>
      <c r="P67" s="102">
        <v>24000</v>
      </c>
      <c r="Q67" s="102"/>
      <c r="R67" s="99">
        <f t="shared" si="5"/>
        <v>0</v>
      </c>
      <c r="S67" s="102">
        <f t="shared" si="3"/>
        <v>24000</v>
      </c>
      <c r="T67" s="89">
        <f t="shared" si="4"/>
        <v>0</v>
      </c>
      <c r="U67" s="122" t="str">
        <f t="shared" si="17"/>
        <v>OK</v>
      </c>
      <c r="V67" s="132"/>
      <c r="W67" s="132"/>
    </row>
    <row r="68" spans="2:23" ht="15">
      <c r="B68" s="74" t="str">
        <f>Nómina!D65</f>
        <v>18881513-8</v>
      </c>
      <c r="C68" s="75" t="str">
        <f>Nómina!E65</f>
        <v>PAMELA CONSTANZA HUILITRARO QUEZADA</v>
      </c>
      <c r="D68" s="76">
        <f>SUMIFS(BASE!$Q$3:$Q$453,BASE!$O$3:$O$453,Resumen!D$5,BASE!$B$3:$B$453,Resumen!$B68)</f>
        <v>67059</v>
      </c>
      <c r="E68" s="76">
        <f>SUMIFS(BASE!$Q$3:$Q$453,BASE!$O$3:$O$453,Resumen!E$5,BASE!$B$3:$B$453,Resumen!$B68)</f>
        <v>0</v>
      </c>
      <c r="F68" s="76">
        <f>SUMIFS(BASE!$Q$3:$Q$453,BASE!$O$3:$O$453,Resumen!F$5,BASE!$B$3:$B$453,Resumen!$B68)</f>
        <v>146723</v>
      </c>
      <c r="G68" s="76">
        <f>SUMIFS(BASE!$Q$3:$Q$453,BASE!$O$3:$O$453,Resumen!G$5,BASE!$B$3:$B$453,Resumen!$B68)</f>
        <v>0</v>
      </c>
      <c r="H68" s="76">
        <f>SUMIFS(BASE!$Q$3:$Q$453,BASE!$O$3:$O$453,Resumen!H$5,BASE!$B$3:$B$453,Resumen!$B68)</f>
        <v>0</v>
      </c>
      <c r="I68" s="76">
        <f>SUMIFS(BASE!$Q$3:$Q$453,BASE!$O$3:$O$453,Resumen!I$5,BASE!$B$3:$B$453,Resumen!$B68)</f>
        <v>22689</v>
      </c>
      <c r="J68" s="76">
        <f>SUMIFS(BASE!$Q$3:$Q$453,BASE!$O$3:$O$453,Resumen!J$5,BASE!$B$3:$B$453,Resumen!$B68)</f>
        <v>0</v>
      </c>
      <c r="K68" s="76">
        <f>SUMIFS('Eventos B2B_MKT y Turnos DT'!$K$6:$K$456,'Eventos B2B_MKT y Turnos DT'!$D$6:$D$456,Resumen!$B68,'Eventos B2B_MKT y Turnos DT'!$G$6:$G$456,"B2B")</f>
        <v>0</v>
      </c>
      <c r="L68" s="76">
        <f>SUMIFS('Eventos B2B_MKT y Turnos DT'!$K$6:$K$456,'Eventos B2B_MKT y Turnos DT'!$D$6:$D$456,Resumen!$B68,'Eventos B2B_MKT y Turnos DT'!$G$6:$G$456,"Hotel")</f>
        <v>0</v>
      </c>
      <c r="M68" s="76">
        <f>SUMIFS('Eventos B2B_MKT y Turnos DT'!$K$6:$K$456,'Eventos B2B_MKT y Turnos DT'!$D$6:$D$456,Resumen!$B68,'Eventos B2B_MKT y Turnos DT'!$G$6:$G$456,"Marketing")</f>
        <v>0</v>
      </c>
      <c r="N68" s="76">
        <f>SUMIF(Incidencias!$E$4:$E$89,$B68,Incidencias!$K$4:$K$89)</f>
        <v>0</v>
      </c>
      <c r="O68" s="80">
        <f t="shared" si="2"/>
        <v>236471</v>
      </c>
      <c r="P68" s="102">
        <v>5.8207660913467407E-11</v>
      </c>
      <c r="Q68" s="102">
        <f t="shared" ref="Q68:Q71" si="18">+IF(AND(P68&lt;&gt;0,P68&gt;O68*0.2),O68*0.2,P68)</f>
        <v>5.8207660913467407E-11</v>
      </c>
      <c r="R68" s="99">
        <f t="shared" si="5"/>
        <v>2.4615137126103159E-16</v>
      </c>
      <c r="S68" s="102">
        <f t="shared" si="3"/>
        <v>0</v>
      </c>
      <c r="T68" s="89">
        <f t="shared" si="4"/>
        <v>200409.17249999996</v>
      </c>
      <c r="U68" s="122" t="str">
        <f t="shared" si="17"/>
        <v>OK</v>
      </c>
      <c r="V68" s="132"/>
      <c r="W68" s="132"/>
    </row>
    <row r="69" spans="2:23" ht="15">
      <c r="B69" s="74" t="str">
        <f>Nómina!D66</f>
        <v>8008360-2</v>
      </c>
      <c r="C69" s="75" t="str">
        <f>Nómina!E66</f>
        <v>PAMELA VERONICA CID NAVIA  </v>
      </c>
      <c r="D69" s="76">
        <f>SUMIFS(BASE!$Q$3:$Q$453,BASE!$O$3:$O$453,Resumen!D$5,BASE!$B$3:$B$453,Resumen!$B69)</f>
        <v>440487</v>
      </c>
      <c r="E69" s="76">
        <f>SUMIFS(BASE!$Q$3:$Q$453,BASE!$O$3:$O$453,Resumen!E$5,BASE!$B$3:$B$453,Resumen!$B69)</f>
        <v>22689</v>
      </c>
      <c r="F69" s="76">
        <f>SUMIFS(BASE!$Q$3:$Q$453,BASE!$O$3:$O$453,Resumen!F$5,BASE!$B$3:$B$453,Resumen!$B69)</f>
        <v>68067</v>
      </c>
      <c r="G69" s="76">
        <f>SUMIFS(BASE!$Q$3:$Q$453,BASE!$O$3:$O$453,Resumen!G$5,BASE!$B$3:$B$453,Resumen!$B69)</f>
        <v>0</v>
      </c>
      <c r="H69" s="76">
        <f>SUMIFS(BASE!$Q$3:$Q$453,BASE!$O$3:$O$453,Resumen!H$5,BASE!$B$3:$B$453,Resumen!$B69)</f>
        <v>0</v>
      </c>
      <c r="I69" s="76">
        <f>SUMIFS(BASE!$Q$3:$Q$453,BASE!$O$3:$O$453,Resumen!I$5,BASE!$B$3:$B$453,Resumen!$B69)</f>
        <v>0</v>
      </c>
      <c r="J69" s="76">
        <f>SUMIFS(BASE!$Q$3:$Q$453,BASE!$O$3:$O$453,Resumen!J$5,BASE!$B$3:$B$453,Resumen!$B69)</f>
        <v>0</v>
      </c>
      <c r="K69" s="76">
        <f>SUMIFS('Eventos B2B_MKT y Turnos DT'!$K$6:$K$456,'Eventos B2B_MKT y Turnos DT'!$D$6:$D$456,Resumen!$B69,'Eventos B2B_MKT y Turnos DT'!$G$6:$G$456,"B2B")</f>
        <v>0</v>
      </c>
      <c r="L69" s="76">
        <f>SUMIFS('Eventos B2B_MKT y Turnos DT'!$K$6:$K$456,'Eventos B2B_MKT y Turnos DT'!$D$6:$D$456,Resumen!$B69,'Eventos B2B_MKT y Turnos DT'!$G$6:$G$456,"Hotel")</f>
        <v>0</v>
      </c>
      <c r="M69" s="76">
        <f>SUMIFS('Eventos B2B_MKT y Turnos DT'!$K$6:$K$456,'Eventos B2B_MKT y Turnos DT'!$D$6:$D$456,Resumen!$B69,'Eventos B2B_MKT y Turnos DT'!$G$6:$G$456,"Marketing")</f>
        <v>0</v>
      </c>
      <c r="N69" s="76">
        <f>SUMIF(Incidencias!$E$4:$E$89,$B69,Incidencias!$K$4:$K$89)</f>
        <v>0</v>
      </c>
      <c r="O69" s="80">
        <f t="shared" si="2"/>
        <v>531243</v>
      </c>
      <c r="P69" s="102">
        <v>0</v>
      </c>
      <c r="Q69" s="102">
        <f t="shared" si="18"/>
        <v>0</v>
      </c>
      <c r="R69" s="99">
        <f t="shared" si="5"/>
        <v>0</v>
      </c>
      <c r="S69" s="102">
        <f t="shared" si="3"/>
        <v>0</v>
      </c>
      <c r="T69" s="89">
        <f t="shared" si="4"/>
        <v>450228.4425</v>
      </c>
      <c r="U69" s="122" t="str">
        <f t="shared" si="17"/>
        <v>OK</v>
      </c>
      <c r="V69" s="132"/>
      <c r="W69" s="132"/>
    </row>
    <row r="70" spans="2:23" ht="15">
      <c r="B70" s="74" t="str">
        <f>Nómina!D67</f>
        <v>18725726-3</v>
      </c>
      <c r="C70" s="75" t="str">
        <f>Nómina!E67</f>
        <v>RAFAEL EMILIANO RIQUELME VALDEBENITO </v>
      </c>
      <c r="D70" s="76">
        <f>SUMIFS(BASE!$Q$3:$Q$453,BASE!$O$3:$O$453,Resumen!D$5,BASE!$B$3:$B$453,Resumen!$B70)</f>
        <v>0</v>
      </c>
      <c r="E70" s="76">
        <f>SUMIFS(BASE!$Q$3:$Q$453,BASE!$O$3:$O$453,Resumen!E$5,BASE!$B$3:$B$453,Resumen!$B70)</f>
        <v>0</v>
      </c>
      <c r="F70" s="76">
        <f>SUMIFS(BASE!$Q$3:$Q$453,BASE!$O$3:$O$453,Resumen!F$5,BASE!$B$3:$B$453,Resumen!$B70)</f>
        <v>0</v>
      </c>
      <c r="G70" s="76">
        <f>SUMIFS(BASE!$Q$3:$Q$453,BASE!$O$3:$O$453,Resumen!G$5,BASE!$B$3:$B$453,Resumen!$B70)</f>
        <v>0</v>
      </c>
      <c r="H70" s="76">
        <f>SUMIFS(BASE!$Q$3:$Q$453,BASE!$O$3:$O$453,Resumen!H$5,BASE!$B$3:$B$453,Resumen!$B70)</f>
        <v>0</v>
      </c>
      <c r="I70" s="76">
        <f>SUMIFS(BASE!$Q$3:$Q$453,BASE!$O$3:$O$453,Resumen!I$5,BASE!$B$3:$B$453,Resumen!$B70)</f>
        <v>0</v>
      </c>
      <c r="J70" s="76">
        <f>SUMIFS(BASE!$Q$3:$Q$453,BASE!$O$3:$O$453,Resumen!J$5,BASE!$B$3:$B$453,Resumen!$B70)</f>
        <v>0</v>
      </c>
      <c r="K70" s="76">
        <f>SUMIFS('Eventos B2B_MKT y Turnos DT'!$K$6:$K$456,'Eventos B2B_MKT y Turnos DT'!$D$6:$D$456,Resumen!$B70,'Eventos B2B_MKT y Turnos DT'!$G$6:$G$456,"B2B")</f>
        <v>0</v>
      </c>
      <c r="L70" s="76">
        <f>SUMIFS('Eventos B2B_MKT y Turnos DT'!$K$6:$K$456,'Eventos B2B_MKT y Turnos DT'!$D$6:$D$456,Resumen!$B70,'Eventos B2B_MKT y Turnos DT'!$G$6:$G$456,"Hotel")</f>
        <v>46784</v>
      </c>
      <c r="M70" s="76">
        <f>SUMIFS('Eventos B2B_MKT y Turnos DT'!$K$6:$K$456,'Eventos B2B_MKT y Turnos DT'!$D$6:$D$456,Resumen!$B70,'Eventos B2B_MKT y Turnos DT'!$G$6:$G$456,"Marketing")</f>
        <v>0</v>
      </c>
      <c r="N70" s="76">
        <f>SUMIF(Incidencias!$E$4:$E$89,$B70,Incidencias!$K$4:$K$89)</f>
        <v>0</v>
      </c>
      <c r="O70" s="80">
        <f t="shared" si="2"/>
        <v>46784</v>
      </c>
      <c r="P70" s="102">
        <v>0</v>
      </c>
      <c r="Q70" s="102">
        <f t="shared" si="18"/>
        <v>0</v>
      </c>
      <c r="R70" s="99">
        <f t="shared" si="5"/>
        <v>0</v>
      </c>
      <c r="S70" s="102">
        <f t="shared" si="3"/>
        <v>0</v>
      </c>
      <c r="T70" s="89">
        <f t="shared" si="4"/>
        <v>39649.440000000002</v>
      </c>
      <c r="U70" s="122" t="str">
        <f t="shared" si="17"/>
        <v>OK</v>
      </c>
      <c r="V70" s="132"/>
    </row>
    <row r="71" spans="2:23" ht="15">
      <c r="B71" s="74" t="str">
        <f>Nómina!D68</f>
        <v>27988098-6</v>
      </c>
      <c r="C71" s="75" t="str">
        <f>Nómina!E68</f>
        <v>SERGIO RODRÍGUEZ</v>
      </c>
      <c r="D71" s="76">
        <f>SUMIFS(BASE!$Q$3:$Q$453,BASE!$O$3:$O$453,Resumen!D$5,BASE!$B$3:$B$453,Resumen!$B71)</f>
        <v>22689</v>
      </c>
      <c r="E71" s="76">
        <f>SUMIFS(BASE!$Q$3:$Q$453,BASE!$O$3:$O$453,Resumen!E$5,BASE!$B$3:$B$453,Resumen!$B71)</f>
        <v>22689</v>
      </c>
      <c r="F71" s="76">
        <f>SUMIFS(BASE!$Q$3:$Q$453,BASE!$O$3:$O$453,Resumen!F$5,BASE!$B$3:$B$453,Resumen!$B71)</f>
        <v>218319</v>
      </c>
      <c r="G71" s="76">
        <f>SUMIFS(BASE!$Q$3:$Q$453,BASE!$O$3:$O$453,Resumen!G$5,BASE!$B$3:$B$453,Resumen!$B71)</f>
        <v>0</v>
      </c>
      <c r="H71" s="76">
        <f>SUMIFS(BASE!$Q$3:$Q$453,BASE!$O$3:$O$453,Resumen!H$5,BASE!$B$3:$B$453,Resumen!$B71)</f>
        <v>0</v>
      </c>
      <c r="I71" s="76">
        <f>SUMIFS(BASE!$Q$3:$Q$453,BASE!$O$3:$O$453,Resumen!I$5,BASE!$B$3:$B$453,Resumen!$B71)</f>
        <v>0</v>
      </c>
      <c r="J71" s="76">
        <f>SUMIFS(BASE!$Q$3:$Q$453,BASE!$O$3:$O$453,Resumen!J$5,BASE!$B$3:$B$453,Resumen!$B71)</f>
        <v>0</v>
      </c>
      <c r="K71" s="76">
        <f>SUMIFS('Eventos B2B_MKT y Turnos DT'!$K$6:$K$456,'Eventos B2B_MKT y Turnos DT'!$D$6:$D$456,Resumen!$B71,'Eventos B2B_MKT y Turnos DT'!$G$6:$G$456,"B2B")</f>
        <v>148236</v>
      </c>
      <c r="L71" s="76">
        <f>SUMIFS('Eventos B2B_MKT y Turnos DT'!$K$6:$K$456,'Eventos B2B_MKT y Turnos DT'!$D$6:$D$456,Resumen!$B71,'Eventos B2B_MKT y Turnos DT'!$G$6:$G$456,"Hotel")</f>
        <v>46784</v>
      </c>
      <c r="M71" s="76">
        <f>SUMIFS('Eventos B2B_MKT y Turnos DT'!$K$6:$K$456,'Eventos B2B_MKT y Turnos DT'!$D$6:$D$456,Resumen!$B71,'Eventos B2B_MKT y Turnos DT'!$G$6:$G$456,"Marketing")</f>
        <v>0</v>
      </c>
      <c r="N71" s="76">
        <f>SUMIF(Incidencias!$E$4:$E$89,$B71,Incidencias!$K$4:$K$89)</f>
        <v>0</v>
      </c>
      <c r="O71" s="80">
        <f t="shared" ref="O71:O76" si="19">SUM(D71:N71)</f>
        <v>458717</v>
      </c>
      <c r="P71" s="102">
        <v>26750</v>
      </c>
      <c r="Q71" s="102">
        <f t="shared" si="18"/>
        <v>26750</v>
      </c>
      <c r="R71" s="99">
        <f t="shared" ref="R71:R73" si="20">IFERROR(Q71/O71,0)</f>
        <v>5.8314821556646038E-2</v>
      </c>
      <c r="S71" s="102">
        <f t="shared" ref="S71:S73" si="21">IFERROR(P71-Q71,"")</f>
        <v>0</v>
      </c>
      <c r="T71" s="89">
        <f t="shared" ref="T71:T73" si="22">O71*(1-0.1525)-Q71</f>
        <v>362012.65750000003</v>
      </c>
      <c r="U71" s="122" t="str">
        <f t="shared" si="17"/>
        <v>OK</v>
      </c>
      <c r="V71" s="132"/>
      <c r="W71" s="132"/>
    </row>
    <row r="72" spans="2:23" ht="15" hidden="1">
      <c r="B72" s="74" t="str">
        <f>Nómina!D69</f>
        <v>19956304-1</v>
      </c>
      <c r="C72" s="75" t="str">
        <f>Nómina!E69</f>
        <v>VALENTINA NICOLE JEREZ BRAVO</v>
      </c>
      <c r="D72" s="76">
        <f>SUMIFS(BASE!$Q$3:$Q$453,BASE!$O$3:$O$453,Resumen!D$5,BASE!$B$3:$B$453,Resumen!$B72)</f>
        <v>0</v>
      </c>
      <c r="E72" s="76">
        <f>SUMIFS(BASE!$Q$3:$Q$453,BASE!$O$3:$O$453,Resumen!E$5,BASE!$B$3:$B$453,Resumen!$B72)</f>
        <v>0</v>
      </c>
      <c r="F72" s="76">
        <f>SUMIFS(BASE!$Q$3:$Q$453,BASE!$O$3:$O$453,Resumen!F$5,BASE!$B$3:$B$453,Resumen!$B72)</f>
        <v>0</v>
      </c>
      <c r="G72" s="76">
        <f>SUMIFS(BASE!$Q$3:$Q$453,BASE!$O$3:$O$453,Resumen!G$5,BASE!$B$3:$B$453,Resumen!$B72)</f>
        <v>0</v>
      </c>
      <c r="H72" s="76">
        <f>SUMIFS(BASE!$Q$3:$Q$453,BASE!$O$3:$O$453,Resumen!H$5,BASE!$B$3:$B$453,Resumen!$B72)</f>
        <v>0</v>
      </c>
      <c r="I72" s="76">
        <f>SUMIFS(BASE!$Q$3:$Q$453,BASE!$O$3:$O$453,Resumen!I$5,BASE!$B$3:$B$453,Resumen!$B72)</f>
        <v>0</v>
      </c>
      <c r="J72" s="76">
        <f>SUMIFS(BASE!$Q$3:$Q$453,BASE!$O$3:$O$453,Resumen!J$5,BASE!$B$3:$B$453,Resumen!$B72)</f>
        <v>0</v>
      </c>
      <c r="K72" s="76">
        <f>SUMIFS('Eventos B2B_MKT y Turnos DT'!$K$6:$K$456,'Eventos B2B_MKT y Turnos DT'!$D$6:$D$456,Resumen!$B72,'Eventos B2B_MKT y Turnos DT'!$G$6:$G$456,"B2B")</f>
        <v>0</v>
      </c>
      <c r="L72" s="76">
        <f>SUMIFS('Eventos B2B_MKT y Turnos DT'!$K$6:$K$456,'Eventos B2B_MKT y Turnos DT'!$D$6:$D$456,Resumen!$B72,'Eventos B2B_MKT y Turnos DT'!$G$6:$G$456,"Hotel")</f>
        <v>0</v>
      </c>
      <c r="M72" s="76">
        <f>SUMIFS('Eventos B2B_MKT y Turnos DT'!$K$6:$K$456,'Eventos B2B_MKT y Turnos DT'!$D$6:$D$456,Resumen!$B72,'Eventos B2B_MKT y Turnos DT'!$G$6:$G$456,"Marketing")</f>
        <v>0</v>
      </c>
      <c r="N72" s="76">
        <f>SUMIF(Incidencias!$E$4:$E$89,$B72,Incidencias!$K$4:$K$89)</f>
        <v>0</v>
      </c>
      <c r="O72" s="80">
        <f t="shared" si="19"/>
        <v>0</v>
      </c>
      <c r="P72" s="102">
        <v>113235</v>
      </c>
      <c r="Q72" s="102"/>
      <c r="R72" s="99">
        <f t="shared" si="20"/>
        <v>0</v>
      </c>
      <c r="S72" s="102">
        <f t="shared" si="21"/>
        <v>113235</v>
      </c>
      <c r="T72" s="89">
        <f t="shared" si="22"/>
        <v>0</v>
      </c>
      <c r="U72" s="122" t="str">
        <f t="shared" ref="U72:U75" si="23">+IF(O72*(1-0.1525)-Q72=T72,"OK","REVISAR")</f>
        <v>OK</v>
      </c>
      <c r="V72" s="132"/>
      <c r="W72" s="132"/>
    </row>
    <row r="73" spans="2:23" ht="15">
      <c r="B73" s="74" t="str">
        <f>Nómina!D70</f>
        <v>19700904-7</v>
      </c>
      <c r="C73" s="75" t="str">
        <f>Nómina!E70</f>
        <v>VICTORIA ANTONIA CABEZAS VIDELA</v>
      </c>
      <c r="D73" s="76">
        <f>SUMIFS(BASE!$Q$3:$Q$453,BASE!$O$3:$O$453,Resumen!D$5,BASE!$B$3:$B$453,Resumen!$B73)</f>
        <v>0</v>
      </c>
      <c r="E73" s="76">
        <f>SUMIFS(BASE!$Q$3:$Q$453,BASE!$O$3:$O$453,Resumen!E$5,BASE!$B$3:$B$453,Resumen!$B73)</f>
        <v>0</v>
      </c>
      <c r="F73" s="76">
        <f>SUMIFS(BASE!$Q$3:$Q$453,BASE!$O$3:$O$453,Resumen!F$5,BASE!$B$3:$B$453,Resumen!$B73)</f>
        <v>22689</v>
      </c>
      <c r="G73" s="76">
        <f>SUMIFS(BASE!$Q$3:$Q$453,BASE!$O$3:$O$453,Resumen!G$5,BASE!$B$3:$B$453,Resumen!$B73)</f>
        <v>0</v>
      </c>
      <c r="H73" s="76">
        <f>SUMIFS(BASE!$Q$3:$Q$453,BASE!$O$3:$O$453,Resumen!H$5,BASE!$B$3:$B$453,Resumen!$B73)</f>
        <v>0</v>
      </c>
      <c r="I73" s="76">
        <f>SUMIFS(BASE!$Q$3:$Q$453,BASE!$O$3:$O$453,Resumen!I$5,BASE!$B$3:$B$453,Resumen!$B73)</f>
        <v>0</v>
      </c>
      <c r="J73" s="76">
        <f>SUMIFS(BASE!$Q$3:$Q$453,BASE!$O$3:$O$453,Resumen!J$5,BASE!$B$3:$B$453,Resumen!$B73)</f>
        <v>0</v>
      </c>
      <c r="K73" s="76">
        <f>SUMIFS('Eventos B2B_MKT y Turnos DT'!$K$6:$K$456,'Eventos B2B_MKT y Turnos DT'!$D$6:$D$456,Resumen!$B73,'Eventos B2B_MKT y Turnos DT'!$G$6:$G$456,"B2B")</f>
        <v>0</v>
      </c>
      <c r="L73" s="76">
        <f>SUMIFS('Eventos B2B_MKT y Turnos DT'!$K$6:$K$456,'Eventos B2B_MKT y Turnos DT'!$D$6:$D$456,Resumen!$B73,'Eventos B2B_MKT y Turnos DT'!$G$6:$G$456,"Hotel")</f>
        <v>23392</v>
      </c>
      <c r="M73" s="76">
        <f>SUMIFS('Eventos B2B_MKT y Turnos DT'!$K$6:$K$456,'Eventos B2B_MKT y Turnos DT'!$D$6:$D$456,Resumen!$B73,'Eventos B2B_MKT y Turnos DT'!$G$6:$G$456,"Marketing")</f>
        <v>0</v>
      </c>
      <c r="N73" s="76">
        <f>SUMIF(Incidencias!$E$4:$E$89,$B73,Incidencias!$K$4:$K$89)</f>
        <v>0</v>
      </c>
      <c r="O73" s="80">
        <f t="shared" si="19"/>
        <v>46081</v>
      </c>
      <c r="P73" s="102">
        <v>0</v>
      </c>
      <c r="Q73" s="102">
        <f t="shared" ref="Q73:Q76" si="24">+IF(AND(P73&lt;&gt;0,P73&gt;O73*0.2),O73*0.2,P73)</f>
        <v>0</v>
      </c>
      <c r="R73" s="99">
        <f t="shared" si="20"/>
        <v>0</v>
      </c>
      <c r="S73" s="102">
        <f t="shared" si="21"/>
        <v>0</v>
      </c>
      <c r="T73" s="89">
        <f t="shared" si="22"/>
        <v>39053.647499999999</v>
      </c>
      <c r="U73" s="122" t="str">
        <f t="shared" si="23"/>
        <v>OK</v>
      </c>
      <c r="V73" s="132"/>
      <c r="W73" s="132"/>
    </row>
    <row r="74" spans="2:23" ht="15">
      <c r="B74" s="74" t="str">
        <f>Nómina!D71</f>
        <v>26330714-3</v>
      </c>
      <c r="C74" s="75" t="str">
        <f>Nómina!E71</f>
        <v>WENDY CAROLINA MENDEZ AVENDAÑO</v>
      </c>
      <c r="D74" s="76">
        <f>SUMIFS(BASE!$Q$3:$Q$453,BASE!$O$3:$O$453,Resumen!D$5,BASE!$B$3:$B$453,Resumen!$B74)</f>
        <v>61008</v>
      </c>
      <c r="E74" s="76">
        <f>SUMIFS(BASE!$Q$3:$Q$453,BASE!$O$3:$O$453,Resumen!E$5,BASE!$B$3:$B$453,Resumen!$B74)</f>
        <v>0</v>
      </c>
      <c r="F74" s="76">
        <f>SUMIFS(BASE!$Q$3:$Q$453,BASE!$O$3:$O$453,Resumen!F$5,BASE!$B$3:$B$453,Resumen!$B74)</f>
        <v>22689</v>
      </c>
      <c r="G74" s="76">
        <f>SUMIFS(BASE!$Q$3:$Q$453,BASE!$O$3:$O$453,Resumen!G$5,BASE!$B$3:$B$453,Resumen!$B74)</f>
        <v>0</v>
      </c>
      <c r="H74" s="76">
        <f>SUMIFS(BASE!$Q$3:$Q$453,BASE!$O$3:$O$453,Resumen!H$5,BASE!$B$3:$B$453,Resumen!$B74)</f>
        <v>0</v>
      </c>
      <c r="I74" s="76">
        <f>SUMIFS(BASE!$Q$3:$Q$453,BASE!$O$3:$O$453,Resumen!I$5,BASE!$B$3:$B$453,Resumen!$B74)</f>
        <v>0</v>
      </c>
      <c r="J74" s="76">
        <f>SUMIFS(BASE!$Q$3:$Q$453,BASE!$O$3:$O$453,Resumen!J$5,BASE!$B$3:$B$453,Resumen!$B74)</f>
        <v>0</v>
      </c>
      <c r="K74" s="76">
        <f>SUMIFS('Eventos B2B_MKT y Turnos DT'!$K$6:$K$456,'Eventos B2B_MKT y Turnos DT'!$D$6:$D$456,Resumen!$B74,'Eventos B2B_MKT y Turnos DT'!$G$6:$G$456,"B2B")</f>
        <v>148236</v>
      </c>
      <c r="L74" s="76">
        <f>SUMIFS('Eventos B2B_MKT y Turnos DT'!$K$6:$K$456,'Eventos B2B_MKT y Turnos DT'!$D$6:$D$456,Resumen!$B74,'Eventos B2B_MKT y Turnos DT'!$G$6:$G$456,"Hotel")</f>
        <v>0</v>
      </c>
      <c r="M74" s="76">
        <f>SUMIFS('Eventos B2B_MKT y Turnos DT'!$K$6:$K$456,'Eventos B2B_MKT y Turnos DT'!$D$6:$D$456,Resumen!$B74,'Eventos B2B_MKT y Turnos DT'!$G$6:$G$456,"Marketing")</f>
        <v>0</v>
      </c>
      <c r="N74" s="76">
        <f>SUMIF(Incidencias!$E$4:$E$89,$B74,Incidencias!$K$4:$K$89)</f>
        <v>0</v>
      </c>
      <c r="O74" s="80">
        <f t="shared" si="19"/>
        <v>231933</v>
      </c>
      <c r="P74" s="102">
        <v>0</v>
      </c>
      <c r="Q74" s="102">
        <f t="shared" si="24"/>
        <v>0</v>
      </c>
      <c r="R74" s="99">
        <f t="shared" ref="R74:R75" si="25">IFERROR(Q74/O74,0)</f>
        <v>0</v>
      </c>
      <c r="S74" s="102">
        <f t="shared" ref="S74:S75" si="26">IFERROR(P74-Q74,"")</f>
        <v>0</v>
      </c>
      <c r="T74" s="89">
        <f t="shared" ref="T74:T75" si="27">O74*(1-0.1525)-Q74</f>
        <v>196563.2175</v>
      </c>
      <c r="U74" s="122" t="str">
        <f t="shared" si="23"/>
        <v>OK</v>
      </c>
      <c r="V74" s="132"/>
      <c r="W74" s="132"/>
    </row>
    <row r="75" spans="2:23" ht="15">
      <c r="B75" s="74" t="str">
        <f>Nómina!D72</f>
        <v>25310926-2</v>
      </c>
      <c r="C75" s="75" t="str">
        <f>Nómina!E72</f>
        <v>WILLESKA ORTEGA JUSTO</v>
      </c>
      <c r="D75" s="76">
        <f>SUMIFS(BASE!$Q$3:$Q$453,BASE!$O$3:$O$453,Resumen!D$5,BASE!$B$3:$B$453,Resumen!$B75)</f>
        <v>66715</v>
      </c>
      <c r="E75" s="76">
        <f>SUMIFS(BASE!$Q$3:$Q$453,BASE!$O$3:$O$453,Resumen!E$5,BASE!$B$3:$B$453,Resumen!$B75)</f>
        <v>0</v>
      </c>
      <c r="F75" s="76">
        <f>SUMIFS(BASE!$Q$3:$Q$453,BASE!$O$3:$O$453,Resumen!F$5,BASE!$B$3:$B$453,Resumen!$B75)</f>
        <v>31765</v>
      </c>
      <c r="G75" s="76">
        <f>SUMIFS(BASE!$Q$3:$Q$453,BASE!$O$3:$O$453,Resumen!G$5,BASE!$B$3:$B$453,Resumen!$B75)</f>
        <v>0</v>
      </c>
      <c r="H75" s="76">
        <f>SUMIFS(BASE!$Q$3:$Q$453,BASE!$O$3:$O$453,Resumen!H$5,BASE!$B$3:$B$453,Resumen!$B75)</f>
        <v>0</v>
      </c>
      <c r="I75" s="76">
        <f>SUMIFS(BASE!$Q$3:$Q$453,BASE!$O$3:$O$453,Resumen!I$5,BASE!$B$3:$B$453,Resumen!$B75)</f>
        <v>0</v>
      </c>
      <c r="J75" s="76">
        <f>SUMIFS(BASE!$Q$3:$Q$453,BASE!$O$3:$O$453,Resumen!J$5,BASE!$B$3:$B$453,Resumen!$B75)</f>
        <v>0</v>
      </c>
      <c r="K75" s="76">
        <f>SUMIFS('Eventos B2B_MKT y Turnos DT'!$K$6:$K$456,'Eventos B2B_MKT y Turnos DT'!$D$6:$D$456,Resumen!$B75,'Eventos B2B_MKT y Turnos DT'!$G$6:$G$456,"B2B")</f>
        <v>0</v>
      </c>
      <c r="L75" s="76">
        <f>SUMIFS('Eventos B2B_MKT y Turnos DT'!$K$6:$K$456,'Eventos B2B_MKT y Turnos DT'!$D$6:$D$456,Resumen!$B75,'Eventos B2B_MKT y Turnos DT'!$G$6:$G$456,"Hotel")</f>
        <v>0</v>
      </c>
      <c r="M75" s="76">
        <f>SUMIFS('Eventos B2B_MKT y Turnos DT'!$K$6:$K$456,'Eventos B2B_MKT y Turnos DT'!$D$6:$D$456,Resumen!$B75,'Eventos B2B_MKT y Turnos DT'!$G$6:$G$456,"Marketing")</f>
        <v>0</v>
      </c>
      <c r="N75" s="76">
        <f>SUMIF(Incidencias!$E$4:$E$89,$B75,Incidencias!$K$4:$K$89)</f>
        <v>0</v>
      </c>
      <c r="O75" s="80">
        <f t="shared" si="19"/>
        <v>98480</v>
      </c>
      <c r="P75" s="102">
        <v>0</v>
      </c>
      <c r="Q75" s="102">
        <f t="shared" si="24"/>
        <v>0</v>
      </c>
      <c r="R75" s="99">
        <f t="shared" si="25"/>
        <v>0</v>
      </c>
      <c r="S75" s="102">
        <f t="shared" si="26"/>
        <v>0</v>
      </c>
      <c r="T75" s="89">
        <f t="shared" si="27"/>
        <v>83461.8</v>
      </c>
      <c r="U75" s="122" t="str">
        <f t="shared" si="23"/>
        <v>OK</v>
      </c>
      <c r="V75" s="132"/>
    </row>
    <row r="76" spans="2:23" ht="15">
      <c r="B76" s="74" t="str">
        <f>Nómina!D73</f>
        <v>17707188-9</v>
      </c>
      <c r="C76" s="75" t="str">
        <f>Nómina!E73</f>
        <v>XIMENA ESTEFANIA PASTEN PINO  </v>
      </c>
      <c r="D76" s="76">
        <f>SUMIFS(BASE!$Q$3:$Q$453,BASE!$O$3:$O$453,Resumen!D$5,BASE!$B$3:$B$453,Resumen!$B76)</f>
        <v>0</v>
      </c>
      <c r="E76" s="76">
        <f>SUMIFS(BASE!$Q$3:$Q$453,BASE!$O$3:$O$453,Resumen!E$5,BASE!$B$3:$B$453,Resumen!$B76)</f>
        <v>0</v>
      </c>
      <c r="F76" s="76">
        <f>SUMIFS(BASE!$Q$3:$Q$453,BASE!$O$3:$O$453,Resumen!F$5,BASE!$B$3:$B$453,Resumen!$B76)</f>
        <v>22689</v>
      </c>
      <c r="G76" s="76">
        <f>SUMIFS(BASE!$Q$3:$Q$453,BASE!$O$3:$O$453,Resumen!G$5,BASE!$B$3:$B$453,Resumen!$B76)</f>
        <v>0</v>
      </c>
      <c r="H76" s="76">
        <f>SUMIFS(BASE!$Q$3:$Q$453,BASE!$O$3:$O$453,Resumen!H$5,BASE!$B$3:$B$453,Resumen!$B76)</f>
        <v>0</v>
      </c>
      <c r="I76" s="76">
        <f>SUMIFS(BASE!$Q$3:$Q$453,BASE!$O$3:$O$453,Resumen!I$5,BASE!$B$3:$B$453,Resumen!$B76)</f>
        <v>0</v>
      </c>
      <c r="J76" s="76">
        <f>SUMIFS(BASE!$Q$3:$Q$453,BASE!$O$3:$O$453,Resumen!J$5,BASE!$B$3:$B$453,Resumen!$B76)</f>
        <v>0</v>
      </c>
      <c r="K76" s="76">
        <f>SUMIFS('Eventos B2B_MKT y Turnos DT'!$K$6:$K$456,'Eventos B2B_MKT y Turnos DT'!$D$6:$D$456,Resumen!$B76,'Eventos B2B_MKT y Turnos DT'!$G$6:$G$456,"B2B")</f>
        <v>106639</v>
      </c>
      <c r="L76" s="76">
        <f>SUMIFS('Eventos B2B_MKT y Turnos DT'!$K$6:$K$456,'Eventos B2B_MKT y Turnos DT'!$D$6:$D$456,Resumen!$B76,'Eventos B2B_MKT y Turnos DT'!$G$6:$G$456,"Hotel")</f>
        <v>23392</v>
      </c>
      <c r="M76" s="76">
        <f>SUMIFS('Eventos B2B_MKT y Turnos DT'!$K$6:$K$456,'Eventos B2B_MKT y Turnos DT'!$D$6:$D$456,Resumen!$B76,'Eventos B2B_MKT y Turnos DT'!$G$6:$G$456,"Marketing")</f>
        <v>0</v>
      </c>
      <c r="N76" s="76">
        <f>SUMIF(Incidencias!$E$4:$E$89,$B76,Incidencias!$K$4:$K$89)</f>
        <v>0</v>
      </c>
      <c r="O76" s="80">
        <f t="shared" si="19"/>
        <v>152720</v>
      </c>
      <c r="P76" s="102">
        <v>0</v>
      </c>
      <c r="Q76" s="102">
        <f t="shared" si="24"/>
        <v>0</v>
      </c>
      <c r="R76" s="99">
        <f t="shared" ref="R76" si="28">IFERROR(Q76/O76,0)</f>
        <v>0</v>
      </c>
      <c r="S76" s="102">
        <f t="shared" ref="S76" si="29">IFERROR(P76-Q76,"")</f>
        <v>0</v>
      </c>
      <c r="T76" s="89">
        <f t="shared" ref="T76" si="30">O76*(1-0.1525)-Q76</f>
        <v>129430.20000000001</v>
      </c>
      <c r="U76" s="122" t="str">
        <f t="shared" ref="U76" si="31">+IF(O76*(1-0.1525)-Q76=T76,"OK","REVISAR")</f>
        <v>OK</v>
      </c>
    </row>
    <row r="77" spans="2:23" ht="15" hidden="1">
      <c r="B77" s="74" t="str">
        <f>Nómina!D74</f>
        <v>18610367-K</v>
      </c>
      <c r="C77" s="75" t="str">
        <f>Nómina!E74</f>
        <v>YASNA DEL PILAR MATUS FUENTES  </v>
      </c>
      <c r="D77" s="76">
        <f>SUMIFS(BASE!$Q$3:$Q$453,BASE!$O$3:$O$453,Resumen!D$5,BASE!$B$3:$B$453,Resumen!$B77)</f>
        <v>0</v>
      </c>
      <c r="E77" s="76">
        <f>SUMIFS(BASE!$Q$3:$Q$453,BASE!$O$3:$O$453,Resumen!E$5,BASE!$B$3:$B$453,Resumen!$B77)</f>
        <v>0</v>
      </c>
      <c r="F77" s="76">
        <f>SUMIFS(BASE!$Q$3:$Q$453,BASE!$O$3:$O$453,Resumen!F$5,BASE!$B$3:$B$453,Resumen!$B77)</f>
        <v>0</v>
      </c>
      <c r="G77" s="76">
        <f>SUMIFS(BASE!$Q$3:$Q$453,BASE!$O$3:$O$453,Resumen!G$5,BASE!$B$3:$B$453,Resumen!$B77)</f>
        <v>0</v>
      </c>
      <c r="H77" s="76">
        <f>SUMIFS(BASE!$Q$3:$Q$453,BASE!$O$3:$O$453,Resumen!H$5,BASE!$B$3:$B$453,Resumen!$B77)</f>
        <v>0</v>
      </c>
      <c r="I77" s="76">
        <f>SUMIFS(BASE!$Q$3:$Q$453,BASE!$O$3:$O$453,Resumen!I$5,BASE!$B$3:$B$453,Resumen!$B77)</f>
        <v>0</v>
      </c>
      <c r="J77" s="76">
        <f>SUMIFS(BASE!$Q$3:$Q$453,BASE!$O$3:$O$453,Resumen!J$5,BASE!$B$3:$B$453,Resumen!$B77)</f>
        <v>0</v>
      </c>
      <c r="K77" s="76">
        <f>SUMIFS('Eventos B2B_MKT y Turnos DT'!$K$6:$K$456,'Eventos B2B_MKT y Turnos DT'!$D$6:$D$456,Resumen!$B77,'Eventos B2B_MKT y Turnos DT'!$G$6:$G$456,"B2B")</f>
        <v>0</v>
      </c>
      <c r="L77" s="76">
        <f>SUMIFS('Eventos B2B_MKT y Turnos DT'!$K$6:$K$456,'Eventos B2B_MKT y Turnos DT'!$D$6:$D$456,Resumen!$B77,'Eventos B2B_MKT y Turnos DT'!$G$6:$G$456,"Hotel")</f>
        <v>0</v>
      </c>
      <c r="M77" s="76">
        <f>SUMIFS('Eventos B2B_MKT y Turnos DT'!$K$6:$K$456,'Eventos B2B_MKT y Turnos DT'!$D$6:$D$456,Resumen!$B77,'Eventos B2B_MKT y Turnos DT'!$G$6:$G$456,"Marketing")</f>
        <v>0</v>
      </c>
      <c r="N77" s="76">
        <f>SUMIF(Incidencias!$E$4:$E$89,$B77,Incidencias!$K$4:$K$89)</f>
        <v>0</v>
      </c>
      <c r="O77" s="80">
        <f t="shared" ref="O77" si="32">SUM(D77:N77)</f>
        <v>0</v>
      </c>
      <c r="P77" s="102">
        <v>83754.184873949576</v>
      </c>
      <c r="Q77" s="102">
        <f t="shared" ref="Q77" si="33">+IF(AND(P77&lt;&gt;0,P77&gt;O77*0.2),O77*0.2,P77)</f>
        <v>0</v>
      </c>
      <c r="R77" s="99">
        <f t="shared" ref="R77" si="34">IFERROR(Q77/O77,0)</f>
        <v>0</v>
      </c>
      <c r="S77" s="102">
        <f t="shared" ref="S77" si="35">IFERROR(P77-Q77,"")</f>
        <v>83754.184873949576</v>
      </c>
      <c r="T77" s="89">
        <f t="shared" ref="T77" si="36">O77*(1-0.1525)-Q77</f>
        <v>0</v>
      </c>
      <c r="U77" s="122" t="str">
        <f t="shared" ref="U77" si="37">+IF(O77*(1-0.1525)-Q77=T77,"OK","REVISAR")</f>
        <v>OK</v>
      </c>
    </row>
  </sheetData>
  <autoFilter ref="B5:U83" xr:uid="{A01EA242-4F5E-4F17-AD47-A0620818996D}">
    <filterColumn colId="13">
      <filters blank="1">
        <filter val="$108.277"/>
        <filter val="$124.935"/>
        <filter val="$15.000"/>
        <filter val="$152.720"/>
        <filter val="$167.118"/>
        <filter val="$167.394"/>
        <filter val="$169.179"/>
        <filter val="$202.383"/>
        <filter val="$22.689"/>
        <filter val="$228.257"/>
        <filter val="$231.933"/>
        <filter val="$236.471"/>
        <filter val="$269.694"/>
        <filter val="$271.963"/>
        <filter val="$295.621"/>
        <filter val="$35.958"/>
        <filter val="$458.717"/>
        <filter val="$46.081"/>
        <filter val="$46.784"/>
        <filter val="$48.563"/>
        <filter val="$531.243"/>
        <filter val="$55.462"/>
        <filter val="$98.480"/>
        <filter val="$99.831"/>
      </filters>
    </filterColumn>
  </autoFilter>
  <mergeCells count="1">
    <mergeCell ref="T2:U2"/>
  </mergeCells>
  <pageMargins left="0.7" right="0.7" top="0.75" bottom="0.75" header="0.3" footer="0.3"/>
  <ignoredErrors>
    <ignoredError sqref="R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8853-3A03-42A7-9A39-D5754A75F5E5}">
  <sheetPr>
    <tabColor rgb="FF00B050"/>
  </sheetPr>
  <dimension ref="B2:P155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3" sqref="A3"/>
      <selection pane="bottomRight" activeCell="K6" sqref="K6"/>
    </sheetView>
  </sheetViews>
  <sheetFormatPr baseColWidth="10" defaultRowHeight="14.25"/>
  <cols>
    <col min="1" max="1" width="3.625" customWidth="1"/>
    <col min="2" max="2" width="9.625" style="43" bestFit="1" customWidth="1"/>
    <col min="3" max="3" width="9.875" style="43" bestFit="1" customWidth="1"/>
    <col min="4" max="4" width="11.75" style="45" bestFit="1" customWidth="1"/>
    <col min="5" max="5" width="39.25" style="45" bestFit="1" customWidth="1"/>
    <col min="6" max="6" width="17.625" style="108" bestFit="1" customWidth="1"/>
    <col min="7" max="7" width="21.125" style="43" bestFit="1" customWidth="1"/>
    <col min="8" max="8" width="21" style="45" bestFit="1" customWidth="1"/>
    <col min="9" max="9" width="15.375" style="43" bestFit="1" customWidth="1"/>
    <col min="10" max="10" width="17.125" style="45" bestFit="1" customWidth="1"/>
    <col min="11" max="11" width="14.25" style="45" bestFit="1" customWidth="1"/>
  </cols>
  <sheetData>
    <row r="2" spans="2:16" ht="14.45" customHeight="1">
      <c r="N2" s="155" t="s">
        <v>503</v>
      </c>
      <c r="O2" s="103" t="s">
        <v>3</v>
      </c>
      <c r="P2" s="112">
        <f>SUMIF($G$6:$G$55,O2,$K$6:$K$55)</f>
        <v>509750</v>
      </c>
    </row>
    <row r="3" spans="2:16" ht="15">
      <c r="N3" s="156"/>
      <c r="O3" s="103" t="s">
        <v>5</v>
      </c>
      <c r="P3" s="112">
        <f>SUMIF($G$6:$G$55,O3,$K$6:$K$55)</f>
        <v>327488</v>
      </c>
    </row>
    <row r="4" spans="2:16" ht="15">
      <c r="K4" s="115">
        <f>SUBTOTAL(9,K6:K1048576)</f>
        <v>837238</v>
      </c>
      <c r="N4" s="157"/>
      <c r="O4" s="103" t="s">
        <v>6</v>
      </c>
      <c r="P4" s="112">
        <f>SUMIF($G$6:$G$55,O4,$K$6:$K$55)</f>
        <v>0</v>
      </c>
    </row>
    <row r="5" spans="2:16" ht="15">
      <c r="B5" s="110" t="s">
        <v>465</v>
      </c>
      <c r="C5" s="110" t="s">
        <v>38</v>
      </c>
      <c r="D5" s="34" t="s">
        <v>335</v>
      </c>
      <c r="E5" s="34" t="s">
        <v>467</v>
      </c>
      <c r="F5" s="109" t="s">
        <v>30</v>
      </c>
      <c r="G5" s="34" t="s">
        <v>466</v>
      </c>
      <c r="H5" s="34" t="s">
        <v>492</v>
      </c>
      <c r="I5" s="34" t="s">
        <v>471</v>
      </c>
      <c r="J5" s="34" t="s">
        <v>468</v>
      </c>
      <c r="K5" s="34" t="s">
        <v>469</v>
      </c>
    </row>
    <row r="6" spans="2:16">
      <c r="B6" s="107">
        <v>2026</v>
      </c>
      <c r="C6" s="107">
        <v>7</v>
      </c>
      <c r="D6" s="44" t="s">
        <v>406</v>
      </c>
      <c r="E6" s="44" t="s">
        <v>407</v>
      </c>
      <c r="F6" s="29">
        <v>46207</v>
      </c>
      <c r="G6" s="25" t="s">
        <v>5</v>
      </c>
      <c r="H6" s="106" t="s">
        <v>33</v>
      </c>
      <c r="I6" s="28">
        <v>4</v>
      </c>
      <c r="J6" s="44" t="s">
        <v>34</v>
      </c>
      <c r="K6" s="151">
        <v>23392</v>
      </c>
      <c r="M6" s="105"/>
    </row>
    <row r="7" spans="2:16">
      <c r="B7" s="107">
        <v>2026</v>
      </c>
      <c r="C7" s="107">
        <v>7</v>
      </c>
      <c r="D7" s="44" t="s">
        <v>311</v>
      </c>
      <c r="E7" s="44" t="s">
        <v>414</v>
      </c>
      <c r="F7" s="29">
        <v>46207</v>
      </c>
      <c r="G7" s="25" t="s">
        <v>5</v>
      </c>
      <c r="H7" s="106" t="s">
        <v>33</v>
      </c>
      <c r="I7" s="28">
        <v>4</v>
      </c>
      <c r="J7" s="44" t="s">
        <v>34</v>
      </c>
      <c r="K7" s="151">
        <v>23392</v>
      </c>
      <c r="M7" s="105"/>
    </row>
    <row r="8" spans="2:16">
      <c r="B8" s="107">
        <v>2026</v>
      </c>
      <c r="C8" s="107">
        <v>7</v>
      </c>
      <c r="D8" s="44" t="s">
        <v>299</v>
      </c>
      <c r="E8" s="44" t="s">
        <v>424</v>
      </c>
      <c r="F8" s="29">
        <v>46207</v>
      </c>
      <c r="G8" s="25" t="s">
        <v>5</v>
      </c>
      <c r="H8" s="106" t="s">
        <v>35</v>
      </c>
      <c r="I8" s="28">
        <v>4</v>
      </c>
      <c r="J8" s="44" t="s">
        <v>34</v>
      </c>
      <c r="K8" s="151">
        <v>23392</v>
      </c>
      <c r="M8" s="105"/>
    </row>
    <row r="9" spans="2:16">
      <c r="B9" s="107">
        <v>2026</v>
      </c>
      <c r="C9" s="107">
        <v>7</v>
      </c>
      <c r="D9" s="44" t="s">
        <v>289</v>
      </c>
      <c r="E9" s="44" t="s">
        <v>364</v>
      </c>
      <c r="F9" s="29">
        <v>46207</v>
      </c>
      <c r="G9" s="25" t="s">
        <v>5</v>
      </c>
      <c r="H9" s="106" t="s">
        <v>35</v>
      </c>
      <c r="I9" s="28">
        <v>4</v>
      </c>
      <c r="J9" s="44" t="s">
        <v>34</v>
      </c>
      <c r="K9" s="151">
        <v>23392</v>
      </c>
      <c r="M9" s="105"/>
    </row>
    <row r="10" spans="2:16">
      <c r="B10" s="107">
        <v>2026</v>
      </c>
      <c r="C10" s="107">
        <v>7</v>
      </c>
      <c r="D10" s="44" t="s">
        <v>326</v>
      </c>
      <c r="E10" s="44" t="s">
        <v>432</v>
      </c>
      <c r="F10" s="29">
        <v>46208</v>
      </c>
      <c r="G10" s="25" t="s">
        <v>5</v>
      </c>
      <c r="H10" s="106" t="s">
        <v>33</v>
      </c>
      <c r="I10" s="28">
        <v>4</v>
      </c>
      <c r="J10" s="44" t="s">
        <v>34</v>
      </c>
      <c r="K10" s="151">
        <v>23392</v>
      </c>
      <c r="M10" s="105"/>
    </row>
    <row r="11" spans="2:16">
      <c r="B11" s="107">
        <v>2026</v>
      </c>
      <c r="C11" s="107">
        <v>7</v>
      </c>
      <c r="D11" s="44" t="s">
        <v>320</v>
      </c>
      <c r="E11" s="44" t="s">
        <v>339</v>
      </c>
      <c r="F11" s="29">
        <v>46208</v>
      </c>
      <c r="G11" s="25" t="s">
        <v>5</v>
      </c>
      <c r="H11" s="106" t="s">
        <v>33</v>
      </c>
      <c r="I11" s="28">
        <v>4</v>
      </c>
      <c r="J11" s="44" t="s">
        <v>34</v>
      </c>
      <c r="K11" s="151">
        <v>23392</v>
      </c>
      <c r="M11" s="105"/>
    </row>
    <row r="12" spans="2:16">
      <c r="B12" s="107">
        <v>2026</v>
      </c>
      <c r="C12" s="107">
        <v>7</v>
      </c>
      <c r="D12" s="44" t="s">
        <v>308</v>
      </c>
      <c r="E12" s="44" t="s">
        <v>380</v>
      </c>
      <c r="F12" s="29">
        <v>46208</v>
      </c>
      <c r="G12" s="25" t="s">
        <v>5</v>
      </c>
      <c r="H12" s="106" t="s">
        <v>35</v>
      </c>
      <c r="I12" s="28">
        <v>4</v>
      </c>
      <c r="J12" s="44" t="s">
        <v>34</v>
      </c>
      <c r="K12" s="151">
        <v>23392</v>
      </c>
      <c r="M12" s="105"/>
    </row>
    <row r="13" spans="2:16">
      <c r="B13" s="107">
        <v>2026</v>
      </c>
      <c r="C13" s="107">
        <v>7</v>
      </c>
      <c r="D13" s="44" t="s">
        <v>306</v>
      </c>
      <c r="E13" s="44" t="s">
        <v>412</v>
      </c>
      <c r="F13" s="29">
        <v>46210</v>
      </c>
      <c r="G13" s="25" t="s">
        <v>3</v>
      </c>
      <c r="H13" s="106" t="s">
        <v>945</v>
      </c>
      <c r="I13" s="28">
        <v>2</v>
      </c>
      <c r="J13" s="44" t="s">
        <v>509</v>
      </c>
      <c r="K13" s="151">
        <v>41597</v>
      </c>
      <c r="M13" s="105"/>
    </row>
    <row r="14" spans="2:16">
      <c r="B14" s="107">
        <v>2026</v>
      </c>
      <c r="C14" s="107">
        <v>7</v>
      </c>
      <c r="D14" s="44" t="s">
        <v>326</v>
      </c>
      <c r="E14" s="44" t="s">
        <v>432</v>
      </c>
      <c r="F14" s="29">
        <v>46210</v>
      </c>
      <c r="G14" s="25" t="s">
        <v>3</v>
      </c>
      <c r="H14" s="106" t="s">
        <v>945</v>
      </c>
      <c r="I14" s="28">
        <v>2</v>
      </c>
      <c r="J14" s="44" t="s">
        <v>509</v>
      </c>
      <c r="K14" s="151">
        <v>41597</v>
      </c>
      <c r="M14" s="105"/>
    </row>
    <row r="15" spans="2:16">
      <c r="B15" s="107">
        <v>2026</v>
      </c>
      <c r="C15" s="107">
        <v>7</v>
      </c>
      <c r="D15" s="44" t="s">
        <v>311</v>
      </c>
      <c r="E15" s="44" t="s">
        <v>414</v>
      </c>
      <c r="F15" s="29">
        <v>46212</v>
      </c>
      <c r="G15" s="25" t="s">
        <v>3</v>
      </c>
      <c r="H15" s="106" t="s">
        <v>946</v>
      </c>
      <c r="I15" s="28">
        <v>6</v>
      </c>
      <c r="J15" s="44" t="s">
        <v>509</v>
      </c>
      <c r="K15" s="151">
        <v>106639</v>
      </c>
      <c r="M15" s="105"/>
    </row>
    <row r="16" spans="2:16">
      <c r="B16" s="107">
        <v>2026</v>
      </c>
      <c r="C16" s="107">
        <v>7</v>
      </c>
      <c r="D16" s="44" t="s">
        <v>306</v>
      </c>
      <c r="E16" s="44" t="s">
        <v>412</v>
      </c>
      <c r="F16" s="29">
        <v>46212</v>
      </c>
      <c r="G16" s="25" t="s">
        <v>3</v>
      </c>
      <c r="H16" s="106" t="s">
        <v>946</v>
      </c>
      <c r="I16" s="28">
        <v>6</v>
      </c>
      <c r="J16" s="44" t="s">
        <v>509</v>
      </c>
      <c r="K16" s="151">
        <v>106639</v>
      </c>
      <c r="M16" s="105"/>
    </row>
    <row r="17" spans="2:13">
      <c r="B17" s="107">
        <v>2026</v>
      </c>
      <c r="C17" s="107">
        <v>7</v>
      </c>
      <c r="D17" s="44" t="s">
        <v>326</v>
      </c>
      <c r="E17" s="44" t="s">
        <v>432</v>
      </c>
      <c r="F17" s="29">
        <v>46212</v>
      </c>
      <c r="G17" s="25" t="s">
        <v>3</v>
      </c>
      <c r="H17" s="106" t="s">
        <v>946</v>
      </c>
      <c r="I17" s="28">
        <v>6</v>
      </c>
      <c r="J17" s="44" t="s">
        <v>509</v>
      </c>
      <c r="K17" s="151">
        <v>106639</v>
      </c>
      <c r="M17" s="105"/>
    </row>
    <row r="18" spans="2:13">
      <c r="B18" s="107">
        <v>2026</v>
      </c>
      <c r="C18" s="107">
        <v>7</v>
      </c>
      <c r="D18" s="44" t="s">
        <v>289</v>
      </c>
      <c r="E18" s="44" t="s">
        <v>364</v>
      </c>
      <c r="F18" s="29">
        <v>46212</v>
      </c>
      <c r="G18" s="25" t="s">
        <v>3</v>
      </c>
      <c r="H18" s="106" t="s">
        <v>946</v>
      </c>
      <c r="I18" s="28">
        <v>6</v>
      </c>
      <c r="J18" s="44" t="s">
        <v>509</v>
      </c>
      <c r="K18" s="151">
        <v>106639</v>
      </c>
      <c r="M18" s="105"/>
    </row>
    <row r="19" spans="2:13">
      <c r="B19" s="107">
        <v>2026</v>
      </c>
      <c r="C19" s="107">
        <v>7</v>
      </c>
      <c r="D19" s="44" t="s">
        <v>326</v>
      </c>
      <c r="E19" s="44" t="s">
        <v>432</v>
      </c>
      <c r="F19" s="29">
        <v>46214</v>
      </c>
      <c r="G19" s="25" t="s">
        <v>5</v>
      </c>
      <c r="H19" s="44" t="s">
        <v>33</v>
      </c>
      <c r="I19" s="28">
        <v>4</v>
      </c>
      <c r="J19" s="44" t="s">
        <v>34</v>
      </c>
      <c r="K19" s="151">
        <v>23392</v>
      </c>
      <c r="M19" s="105"/>
    </row>
    <row r="20" spans="2:13">
      <c r="B20" s="107">
        <v>2026</v>
      </c>
      <c r="C20" s="107">
        <v>7</v>
      </c>
      <c r="D20" s="44" t="s">
        <v>293</v>
      </c>
      <c r="E20" s="44" t="s">
        <v>367</v>
      </c>
      <c r="F20" s="29">
        <v>46214</v>
      </c>
      <c r="G20" s="25" t="s">
        <v>5</v>
      </c>
      <c r="H20" s="106" t="s">
        <v>33</v>
      </c>
      <c r="I20" s="28">
        <v>4</v>
      </c>
      <c r="J20" s="44" t="s">
        <v>34</v>
      </c>
      <c r="K20" s="151">
        <v>23392</v>
      </c>
      <c r="M20" s="105"/>
    </row>
    <row r="21" spans="2:13">
      <c r="B21" s="107">
        <v>2026</v>
      </c>
      <c r="C21" s="107">
        <v>7</v>
      </c>
      <c r="D21" s="44" t="s">
        <v>406</v>
      </c>
      <c r="E21" s="44" t="s">
        <v>407</v>
      </c>
      <c r="F21" s="29">
        <v>46214</v>
      </c>
      <c r="G21" s="25" t="s">
        <v>5</v>
      </c>
      <c r="H21" s="44" t="s">
        <v>35</v>
      </c>
      <c r="I21" s="28">
        <v>4</v>
      </c>
      <c r="J21" s="44" t="s">
        <v>34</v>
      </c>
      <c r="K21" s="151">
        <v>23392</v>
      </c>
      <c r="M21" s="105"/>
    </row>
    <row r="22" spans="2:13">
      <c r="B22" s="107">
        <v>2026</v>
      </c>
      <c r="C22" s="107">
        <v>7</v>
      </c>
      <c r="D22" s="44" t="s">
        <v>310</v>
      </c>
      <c r="E22" s="44" t="s">
        <v>411</v>
      </c>
      <c r="F22" s="29">
        <v>46214</v>
      </c>
      <c r="G22" s="25" t="s">
        <v>5</v>
      </c>
      <c r="H22" s="106" t="s">
        <v>35</v>
      </c>
      <c r="I22" s="28">
        <v>4</v>
      </c>
      <c r="J22" s="44" t="s">
        <v>34</v>
      </c>
      <c r="K22" s="151">
        <v>23392</v>
      </c>
      <c r="M22" s="105"/>
    </row>
    <row r="23" spans="2:13">
      <c r="B23" s="107">
        <v>2026</v>
      </c>
      <c r="C23" s="107">
        <v>7</v>
      </c>
      <c r="D23" s="44" t="s">
        <v>308</v>
      </c>
      <c r="E23" s="44" t="s">
        <v>380</v>
      </c>
      <c r="F23" s="29">
        <v>46215</v>
      </c>
      <c r="G23" s="28" t="s">
        <v>5</v>
      </c>
      <c r="H23" s="44" t="s">
        <v>33</v>
      </c>
      <c r="I23" s="28">
        <v>4</v>
      </c>
      <c r="J23" s="44" t="s">
        <v>34</v>
      </c>
      <c r="K23" s="152">
        <v>23392</v>
      </c>
    </row>
    <row r="24" spans="2:13">
      <c r="B24" s="107">
        <v>2026</v>
      </c>
      <c r="C24" s="107">
        <v>7</v>
      </c>
      <c r="D24" s="44" t="s">
        <v>297</v>
      </c>
      <c r="E24" s="44" t="s">
        <v>378</v>
      </c>
      <c r="F24" s="29">
        <v>46215</v>
      </c>
      <c r="G24" s="28" t="s">
        <v>5</v>
      </c>
      <c r="H24" s="44" t="s">
        <v>33</v>
      </c>
      <c r="I24" s="28">
        <v>4</v>
      </c>
      <c r="J24" s="44" t="s">
        <v>34</v>
      </c>
      <c r="K24" s="152">
        <v>23392</v>
      </c>
    </row>
    <row r="25" spans="2:13">
      <c r="B25" s="107">
        <v>2026</v>
      </c>
      <c r="C25" s="107">
        <v>7</v>
      </c>
      <c r="D25" s="44" t="s">
        <v>299</v>
      </c>
      <c r="E25" s="44" t="s">
        <v>424</v>
      </c>
      <c r="F25" s="29">
        <v>46215</v>
      </c>
      <c r="G25" s="28" t="s">
        <v>5</v>
      </c>
      <c r="H25" s="44" t="s">
        <v>35</v>
      </c>
      <c r="I25" s="28">
        <v>4</v>
      </c>
      <c r="J25" s="44" t="s">
        <v>34</v>
      </c>
      <c r="K25" s="152">
        <v>23392</v>
      </c>
    </row>
    <row r="26" spans="2:13">
      <c r="B26" s="107"/>
      <c r="C26" s="107"/>
      <c r="D26" s="44"/>
      <c r="E26" s="44"/>
      <c r="F26" s="29"/>
      <c r="G26" s="28"/>
      <c r="H26" s="44"/>
      <c r="I26" s="28"/>
      <c r="J26" s="44"/>
      <c r="K26" s="44"/>
    </row>
    <row r="27" spans="2:13">
      <c r="B27" s="107"/>
      <c r="C27" s="107"/>
      <c r="D27" s="44"/>
      <c r="E27" s="44"/>
      <c r="F27" s="29"/>
      <c r="G27" s="28"/>
      <c r="H27" s="44"/>
      <c r="I27" s="28"/>
      <c r="J27" s="44"/>
      <c r="K27" s="44"/>
    </row>
    <row r="28" spans="2:13">
      <c r="B28" s="107"/>
      <c r="C28" s="107"/>
      <c r="D28" s="44"/>
      <c r="E28" s="44"/>
      <c r="F28" s="29"/>
      <c r="G28" s="28"/>
      <c r="H28" s="44"/>
      <c r="I28" s="28"/>
      <c r="J28" s="44"/>
      <c r="K28" s="44"/>
    </row>
    <row r="29" spans="2:13">
      <c r="B29" s="107"/>
      <c r="C29" s="107"/>
      <c r="D29" s="44"/>
      <c r="E29" s="44"/>
      <c r="F29" s="29"/>
      <c r="G29" s="28"/>
      <c r="H29" s="44"/>
      <c r="I29" s="28"/>
      <c r="J29" s="44"/>
      <c r="K29" s="44"/>
    </row>
    <row r="30" spans="2:13">
      <c r="B30" s="107"/>
      <c r="C30" s="107"/>
      <c r="D30" s="44"/>
      <c r="E30" s="44"/>
      <c r="F30" s="29"/>
      <c r="G30" s="28"/>
      <c r="H30" s="44"/>
      <c r="I30" s="28"/>
      <c r="J30" s="44"/>
      <c r="K30" s="44"/>
    </row>
    <row r="31" spans="2:13">
      <c r="B31" s="107"/>
      <c r="C31" s="107"/>
      <c r="D31" s="44"/>
      <c r="E31" s="44"/>
      <c r="F31" s="29"/>
      <c r="G31" s="28"/>
      <c r="H31" s="44"/>
      <c r="I31" s="28"/>
      <c r="J31" s="44"/>
      <c r="K31" s="44"/>
    </row>
    <row r="32" spans="2:13">
      <c r="B32" s="107"/>
      <c r="C32" s="107"/>
      <c r="D32" s="44"/>
      <c r="E32" s="44"/>
      <c r="F32" s="29"/>
      <c r="G32" s="28"/>
      <c r="H32" s="44"/>
      <c r="I32" s="28"/>
      <c r="J32" s="44"/>
      <c r="K32" s="44"/>
    </row>
    <row r="33" spans="2:11">
      <c r="B33" s="107"/>
      <c r="C33" s="107"/>
      <c r="D33" s="44"/>
      <c r="E33" s="44"/>
      <c r="F33" s="29"/>
      <c r="G33" s="28"/>
      <c r="H33" s="44"/>
      <c r="I33" s="28"/>
      <c r="J33" s="44"/>
      <c r="K33" s="44"/>
    </row>
    <row r="34" spans="2:11">
      <c r="B34" s="107"/>
      <c r="C34" s="107"/>
      <c r="D34" s="44"/>
      <c r="E34" s="44"/>
      <c r="F34" s="29"/>
      <c r="G34" s="28"/>
      <c r="H34" s="44"/>
      <c r="I34" s="28"/>
      <c r="J34" s="44"/>
      <c r="K34" s="44"/>
    </row>
    <row r="35" spans="2:11">
      <c r="B35" s="107"/>
      <c r="C35" s="107"/>
      <c r="D35" s="44"/>
      <c r="E35" s="44"/>
      <c r="F35" s="29"/>
      <c r="G35" s="28"/>
      <c r="H35" s="44"/>
      <c r="I35" s="28"/>
      <c r="J35" s="44"/>
      <c r="K35" s="44"/>
    </row>
    <row r="36" spans="2:11">
      <c r="B36" s="107"/>
      <c r="C36" s="107"/>
      <c r="D36" s="44"/>
      <c r="E36" s="44"/>
      <c r="F36" s="29"/>
      <c r="G36" s="28"/>
      <c r="H36" s="44"/>
      <c r="I36" s="28"/>
      <c r="J36" s="44"/>
      <c r="K36" s="44"/>
    </row>
    <row r="37" spans="2:11">
      <c r="B37" s="107"/>
      <c r="C37" s="107"/>
      <c r="D37" s="44"/>
      <c r="E37" s="44"/>
      <c r="F37" s="29"/>
      <c r="G37" s="28"/>
      <c r="H37" s="44"/>
      <c r="I37" s="28"/>
      <c r="J37" s="44"/>
      <c r="K37" s="44"/>
    </row>
    <row r="38" spans="2:11">
      <c r="B38" s="107"/>
      <c r="C38" s="107"/>
      <c r="D38" s="44"/>
      <c r="E38" s="44"/>
      <c r="F38" s="29"/>
      <c r="G38" s="28"/>
      <c r="H38" s="44"/>
      <c r="I38" s="28"/>
      <c r="J38" s="44"/>
      <c r="K38" s="44"/>
    </row>
    <row r="39" spans="2:11">
      <c r="B39" s="107"/>
      <c r="C39" s="107"/>
      <c r="D39" s="44"/>
      <c r="E39" s="44"/>
      <c r="F39" s="29"/>
      <c r="G39" s="28"/>
      <c r="H39" s="44"/>
      <c r="I39" s="28"/>
      <c r="J39" s="44"/>
      <c r="K39" s="44"/>
    </row>
    <row r="40" spans="2:11">
      <c r="B40" s="107"/>
      <c r="C40" s="107"/>
      <c r="D40" s="44"/>
      <c r="E40" s="44"/>
      <c r="F40" s="29"/>
      <c r="G40" s="28"/>
      <c r="H40" s="44"/>
      <c r="I40" s="28"/>
      <c r="J40" s="44"/>
      <c r="K40" s="44"/>
    </row>
    <row r="41" spans="2:11">
      <c r="B41" s="107"/>
      <c r="C41" s="107"/>
      <c r="D41" s="44"/>
      <c r="E41" s="44"/>
      <c r="F41" s="29"/>
      <c r="G41" s="28"/>
      <c r="H41" s="44"/>
      <c r="I41" s="28"/>
      <c r="J41" s="44"/>
      <c r="K41" s="44"/>
    </row>
    <row r="42" spans="2:11">
      <c r="B42" s="107"/>
      <c r="C42" s="107"/>
      <c r="D42" s="44"/>
      <c r="E42" s="44"/>
      <c r="F42" s="29"/>
      <c r="G42" s="28"/>
      <c r="H42" s="44"/>
      <c r="I42" s="28"/>
      <c r="J42" s="44"/>
      <c r="K42" s="44"/>
    </row>
    <row r="43" spans="2:11">
      <c r="B43" s="107"/>
      <c r="C43" s="107"/>
      <c r="D43" s="44"/>
      <c r="E43" s="44"/>
      <c r="F43" s="29"/>
      <c r="G43" s="28"/>
      <c r="H43" s="44"/>
      <c r="I43" s="28"/>
      <c r="J43" s="44"/>
      <c r="K43" s="44"/>
    </row>
    <row r="44" spans="2:11">
      <c r="B44" s="107"/>
      <c r="C44" s="107"/>
      <c r="D44" s="44"/>
      <c r="E44" s="44"/>
      <c r="F44" s="29"/>
      <c r="G44" s="28"/>
      <c r="H44" s="44"/>
      <c r="I44" s="28"/>
      <c r="J44" s="44"/>
      <c r="K44" s="44"/>
    </row>
    <row r="45" spans="2:11">
      <c r="B45" s="107"/>
      <c r="C45" s="107"/>
      <c r="D45" s="44"/>
      <c r="E45" s="44"/>
      <c r="F45" s="29"/>
      <c r="G45" s="28"/>
      <c r="H45" s="44"/>
      <c r="I45" s="28"/>
      <c r="J45" s="44"/>
      <c r="K45" s="44"/>
    </row>
    <row r="46" spans="2:11">
      <c r="B46" s="107"/>
      <c r="C46" s="107"/>
      <c r="D46" s="44"/>
      <c r="E46" s="44"/>
      <c r="F46" s="29"/>
      <c r="G46" s="28"/>
      <c r="H46" s="44"/>
      <c r="I46" s="28"/>
      <c r="J46" s="44"/>
      <c r="K46" s="44"/>
    </row>
    <row r="47" spans="2:11">
      <c r="B47" s="107"/>
      <c r="C47" s="107"/>
      <c r="D47" s="44"/>
      <c r="E47" s="44"/>
      <c r="F47" s="29"/>
      <c r="G47" s="28"/>
      <c r="H47" s="44"/>
      <c r="I47" s="28"/>
      <c r="J47" s="44"/>
      <c r="K47" s="44"/>
    </row>
    <row r="48" spans="2:11">
      <c r="B48" s="107"/>
      <c r="C48" s="107"/>
      <c r="D48" s="44"/>
      <c r="E48" s="44"/>
      <c r="F48" s="29"/>
      <c r="G48" s="28"/>
      <c r="H48" s="44"/>
      <c r="I48" s="28"/>
      <c r="J48" s="44"/>
      <c r="K48" s="44"/>
    </row>
    <row r="49" spans="2:11">
      <c r="B49" s="107"/>
      <c r="C49" s="107"/>
      <c r="D49" s="44"/>
      <c r="E49" s="44"/>
      <c r="F49" s="29"/>
      <c r="G49" s="28"/>
      <c r="H49" s="44"/>
      <c r="I49" s="28"/>
      <c r="J49" s="44"/>
      <c r="K49" s="44"/>
    </row>
    <row r="50" spans="2:11">
      <c r="B50" s="107"/>
      <c r="C50" s="107"/>
      <c r="D50" s="44"/>
      <c r="E50" s="44"/>
      <c r="F50" s="29"/>
      <c r="G50" s="28"/>
      <c r="H50" s="44"/>
      <c r="I50" s="28"/>
      <c r="J50" s="44"/>
      <c r="K50" s="44"/>
    </row>
    <row r="51" spans="2:11">
      <c r="B51" s="107"/>
      <c r="C51" s="107"/>
      <c r="D51" s="44"/>
      <c r="E51" s="44"/>
      <c r="F51" s="29"/>
      <c r="G51" s="28"/>
      <c r="H51" s="44"/>
      <c r="I51" s="28"/>
      <c r="J51" s="44"/>
      <c r="K51" s="44"/>
    </row>
    <row r="52" spans="2:11">
      <c r="B52" s="107"/>
      <c r="C52" s="107"/>
      <c r="D52" s="44"/>
      <c r="E52" s="44"/>
      <c r="F52" s="29"/>
      <c r="G52" s="28"/>
      <c r="H52" s="44"/>
      <c r="I52" s="28"/>
      <c r="J52" s="44"/>
      <c r="K52" s="44"/>
    </row>
    <row r="53" spans="2:11">
      <c r="B53" s="107"/>
      <c r="C53" s="107"/>
      <c r="D53" s="44"/>
      <c r="E53" s="44"/>
      <c r="F53" s="29"/>
      <c r="G53" s="28"/>
      <c r="H53" s="44"/>
      <c r="I53" s="28"/>
      <c r="J53" s="44"/>
      <c r="K53" s="44"/>
    </row>
    <row r="54" spans="2:11">
      <c r="B54" s="107"/>
      <c r="C54" s="107"/>
      <c r="D54" s="44"/>
      <c r="E54" s="44"/>
      <c r="F54" s="29"/>
      <c r="G54" s="28"/>
      <c r="H54" s="44"/>
      <c r="I54" s="28"/>
      <c r="J54" s="44"/>
      <c r="K54" s="44"/>
    </row>
    <row r="55" spans="2:11">
      <c r="B55" s="107"/>
      <c r="C55" s="107"/>
      <c r="D55" s="44"/>
      <c r="E55" s="44"/>
      <c r="F55" s="29"/>
      <c r="G55" s="28"/>
      <c r="H55" s="44"/>
      <c r="I55" s="28"/>
      <c r="J55" s="44"/>
      <c r="K55" s="44"/>
    </row>
    <row r="56" spans="2:11">
      <c r="B56" s="28"/>
      <c r="C56" s="28"/>
      <c r="D56" s="44"/>
      <c r="E56" s="44"/>
      <c r="F56" s="29"/>
      <c r="G56" s="28"/>
      <c r="H56" s="44"/>
      <c r="I56" s="28"/>
      <c r="J56" s="44"/>
      <c r="K56" s="44"/>
    </row>
    <row r="57" spans="2:11">
      <c r="B57" s="28"/>
      <c r="C57" s="28"/>
      <c r="D57" s="44"/>
      <c r="E57" s="44"/>
      <c r="F57" s="29"/>
      <c r="G57" s="28"/>
      <c r="H57" s="44"/>
      <c r="I57" s="28"/>
      <c r="J57" s="44"/>
      <c r="K57" s="44"/>
    </row>
    <row r="58" spans="2:11">
      <c r="B58" s="28"/>
      <c r="C58" s="28"/>
      <c r="D58" s="44"/>
      <c r="E58" s="44"/>
      <c r="F58" s="29"/>
      <c r="G58" s="28"/>
      <c r="H58" s="44"/>
      <c r="I58" s="28"/>
      <c r="J58" s="44"/>
      <c r="K58" s="44"/>
    </row>
    <row r="59" spans="2:11">
      <c r="B59" s="28"/>
      <c r="C59" s="28"/>
      <c r="D59" s="44"/>
      <c r="E59" s="44"/>
      <c r="F59" s="29"/>
      <c r="G59" s="28"/>
      <c r="H59" s="44"/>
      <c r="I59" s="28"/>
      <c r="J59" s="44"/>
      <c r="K59" s="44"/>
    </row>
    <row r="60" spans="2:11">
      <c r="B60" s="28"/>
      <c r="C60" s="28"/>
      <c r="D60" s="44"/>
      <c r="E60" s="44"/>
      <c r="F60" s="29"/>
      <c r="G60" s="28"/>
      <c r="H60" s="44"/>
      <c r="I60" s="28"/>
      <c r="J60" s="44"/>
      <c r="K60" s="44"/>
    </row>
    <row r="61" spans="2:11">
      <c r="B61" s="28"/>
      <c r="C61" s="28"/>
      <c r="D61" s="44"/>
      <c r="E61" s="44"/>
      <c r="F61" s="29"/>
      <c r="G61" s="28"/>
      <c r="H61" s="44"/>
      <c r="I61" s="28"/>
      <c r="J61" s="44"/>
      <c r="K61" s="44"/>
    </row>
    <row r="62" spans="2:11">
      <c r="B62" s="28"/>
      <c r="C62" s="28"/>
      <c r="D62" s="44"/>
      <c r="E62" s="44"/>
      <c r="F62" s="29"/>
      <c r="G62" s="28"/>
      <c r="H62" s="44"/>
      <c r="I62" s="28"/>
      <c r="J62" s="44"/>
      <c r="K62" s="44"/>
    </row>
    <row r="63" spans="2:11">
      <c r="B63" s="28"/>
      <c r="C63" s="28"/>
      <c r="D63" s="44"/>
      <c r="E63" s="44"/>
      <c r="F63" s="29"/>
      <c r="G63" s="28"/>
      <c r="H63" s="44"/>
      <c r="I63" s="28"/>
      <c r="J63" s="44"/>
      <c r="K63" s="44"/>
    </row>
    <row r="64" spans="2:11">
      <c r="B64" s="28"/>
      <c r="C64" s="28"/>
      <c r="D64" s="44"/>
      <c r="E64" s="44"/>
      <c r="F64" s="29"/>
      <c r="G64" s="28"/>
      <c r="H64" s="44"/>
      <c r="I64" s="28"/>
      <c r="J64" s="44"/>
      <c r="K64" s="44"/>
    </row>
    <row r="65" spans="2:11">
      <c r="B65" s="28"/>
      <c r="C65" s="28"/>
      <c r="D65" s="44"/>
      <c r="E65" s="44"/>
      <c r="F65" s="29"/>
      <c r="G65" s="28"/>
      <c r="H65" s="44"/>
      <c r="I65" s="28"/>
      <c r="J65" s="44"/>
      <c r="K65" s="44"/>
    </row>
    <row r="66" spans="2:11">
      <c r="B66" s="28"/>
      <c r="C66" s="28"/>
      <c r="D66" s="44"/>
      <c r="E66" s="44"/>
      <c r="F66" s="29"/>
      <c r="G66" s="28"/>
      <c r="H66" s="44"/>
      <c r="I66" s="28"/>
      <c r="J66" s="44"/>
      <c r="K66" s="44"/>
    </row>
    <row r="67" spans="2:11">
      <c r="B67" s="28"/>
      <c r="C67" s="28"/>
      <c r="D67" s="44"/>
      <c r="E67" s="44"/>
      <c r="F67" s="29"/>
      <c r="G67" s="28"/>
      <c r="H67" s="44"/>
      <c r="I67" s="28"/>
      <c r="J67" s="44"/>
      <c r="K67" s="44"/>
    </row>
    <row r="68" spans="2:11">
      <c r="B68" s="28"/>
      <c r="C68" s="28"/>
      <c r="D68" s="44"/>
      <c r="E68" s="44"/>
      <c r="F68" s="29"/>
      <c r="G68" s="28"/>
      <c r="H68" s="44"/>
      <c r="I68" s="28"/>
      <c r="J68" s="44"/>
      <c r="K68" s="44"/>
    </row>
    <row r="69" spans="2:11">
      <c r="B69" s="28"/>
      <c r="C69" s="28"/>
      <c r="D69" s="44"/>
      <c r="E69" s="44"/>
      <c r="F69" s="29"/>
      <c r="G69" s="28"/>
      <c r="H69" s="44"/>
      <c r="I69" s="28"/>
      <c r="J69" s="44"/>
      <c r="K69" s="44"/>
    </row>
    <row r="70" spans="2:11">
      <c r="B70" s="28"/>
      <c r="C70" s="28"/>
      <c r="D70" s="44"/>
      <c r="E70" s="44"/>
      <c r="F70" s="29"/>
      <c r="G70" s="28"/>
      <c r="H70" s="44"/>
      <c r="I70" s="28"/>
      <c r="J70" s="44"/>
      <c r="K70" s="44"/>
    </row>
    <row r="71" spans="2:11">
      <c r="B71" s="28"/>
      <c r="C71" s="28"/>
      <c r="D71" s="44"/>
      <c r="E71" s="44"/>
      <c r="F71" s="29"/>
      <c r="G71" s="28"/>
      <c r="H71" s="44"/>
      <c r="I71" s="28"/>
      <c r="J71" s="44"/>
      <c r="K71" s="44"/>
    </row>
    <row r="72" spans="2:11">
      <c r="B72" s="28"/>
      <c r="C72" s="28"/>
      <c r="D72" s="44"/>
      <c r="E72" s="44"/>
      <c r="F72" s="29"/>
      <c r="G72" s="28"/>
      <c r="H72" s="44"/>
      <c r="I72" s="28"/>
      <c r="J72" s="44"/>
      <c r="K72" s="44"/>
    </row>
    <row r="73" spans="2:11">
      <c r="B73" s="28"/>
      <c r="C73" s="28"/>
      <c r="D73" s="44"/>
      <c r="E73" s="44"/>
      <c r="F73" s="29"/>
      <c r="G73" s="28"/>
      <c r="H73" s="44"/>
      <c r="I73" s="28"/>
      <c r="J73" s="44"/>
      <c r="K73" s="44"/>
    </row>
    <row r="74" spans="2:11">
      <c r="B74" s="28"/>
      <c r="C74" s="28"/>
      <c r="D74" s="44"/>
      <c r="E74" s="44"/>
      <c r="F74" s="29"/>
      <c r="G74" s="28"/>
      <c r="H74" s="44"/>
      <c r="I74" s="28"/>
      <c r="J74" s="44"/>
      <c r="K74" s="44"/>
    </row>
    <row r="75" spans="2:11">
      <c r="B75" s="28"/>
      <c r="C75" s="28"/>
      <c r="D75" s="44"/>
      <c r="E75" s="44"/>
      <c r="F75" s="29"/>
      <c r="G75" s="28"/>
      <c r="H75" s="44"/>
      <c r="I75" s="28"/>
      <c r="J75" s="44"/>
      <c r="K75" s="44"/>
    </row>
    <row r="76" spans="2:11">
      <c r="B76" s="28"/>
      <c r="C76" s="28"/>
      <c r="D76" s="44"/>
      <c r="E76" s="44"/>
      <c r="F76" s="29"/>
      <c r="G76" s="28"/>
      <c r="H76" s="44"/>
      <c r="I76" s="28"/>
      <c r="J76" s="44"/>
      <c r="K76" s="44"/>
    </row>
    <row r="77" spans="2:11">
      <c r="B77" s="28"/>
      <c r="C77" s="28"/>
      <c r="D77" s="44"/>
      <c r="E77" s="44"/>
      <c r="F77" s="29"/>
      <c r="G77" s="28"/>
      <c r="H77" s="44"/>
      <c r="I77" s="28"/>
      <c r="J77" s="44"/>
      <c r="K77" s="44"/>
    </row>
    <row r="78" spans="2:11">
      <c r="B78" s="28"/>
      <c r="C78" s="28"/>
      <c r="D78" s="44"/>
      <c r="E78" s="44"/>
      <c r="F78" s="29"/>
      <c r="G78" s="28"/>
      <c r="H78" s="44"/>
      <c r="I78" s="28"/>
      <c r="J78" s="44"/>
      <c r="K78" s="44"/>
    </row>
    <row r="79" spans="2:11">
      <c r="B79" s="28"/>
      <c r="C79" s="28"/>
      <c r="D79" s="44"/>
      <c r="E79" s="44"/>
      <c r="F79" s="29"/>
      <c r="G79" s="28"/>
      <c r="H79" s="44"/>
      <c r="I79" s="28"/>
      <c r="J79" s="44"/>
      <c r="K79" s="44"/>
    </row>
    <row r="80" spans="2:11">
      <c r="B80" s="28"/>
      <c r="C80" s="28"/>
      <c r="D80" s="44"/>
      <c r="E80" s="44"/>
      <c r="F80" s="29"/>
      <c r="G80" s="28"/>
      <c r="H80" s="44"/>
      <c r="I80" s="28"/>
      <c r="J80" s="44"/>
      <c r="K80" s="44"/>
    </row>
    <row r="81" spans="2:11">
      <c r="B81" s="28"/>
      <c r="C81" s="28"/>
      <c r="D81" s="44"/>
      <c r="E81" s="44"/>
      <c r="F81" s="29"/>
      <c r="G81" s="28"/>
      <c r="H81" s="44"/>
      <c r="I81" s="28"/>
      <c r="J81" s="44"/>
      <c r="K81" s="44"/>
    </row>
    <row r="82" spans="2:11">
      <c r="B82" s="28"/>
      <c r="C82" s="28"/>
      <c r="D82" s="44"/>
      <c r="E82" s="44"/>
      <c r="F82" s="29"/>
      <c r="G82" s="28"/>
      <c r="H82" s="44"/>
      <c r="I82" s="28"/>
      <c r="J82" s="44"/>
      <c r="K82" s="44"/>
    </row>
    <row r="83" spans="2:11">
      <c r="B83" s="28"/>
      <c r="C83" s="28"/>
      <c r="D83" s="44"/>
      <c r="E83" s="44"/>
      <c r="F83" s="29"/>
      <c r="G83" s="28"/>
      <c r="H83" s="44"/>
      <c r="I83" s="28"/>
      <c r="J83" s="44"/>
      <c r="K83" s="44"/>
    </row>
    <row r="84" spans="2:11">
      <c r="B84" s="28"/>
      <c r="C84" s="28"/>
      <c r="D84" s="44"/>
      <c r="E84" s="44"/>
      <c r="F84" s="29"/>
      <c r="G84" s="28"/>
      <c r="H84" s="44"/>
      <c r="I84" s="28"/>
      <c r="J84" s="44"/>
      <c r="K84" s="44"/>
    </row>
    <row r="85" spans="2:11">
      <c r="B85" s="28"/>
      <c r="C85" s="28"/>
      <c r="D85" s="44"/>
      <c r="E85" s="44"/>
      <c r="F85" s="29"/>
      <c r="G85" s="28"/>
      <c r="H85" s="44"/>
      <c r="I85" s="28"/>
      <c r="J85" s="44"/>
      <c r="K85" s="44"/>
    </row>
    <row r="86" spans="2:11">
      <c r="B86" s="28"/>
      <c r="C86" s="28"/>
      <c r="D86" s="44"/>
      <c r="E86" s="44"/>
      <c r="F86" s="29"/>
      <c r="G86" s="28"/>
      <c r="H86" s="44"/>
      <c r="I86" s="28"/>
      <c r="J86" s="44"/>
      <c r="K86" s="44"/>
    </row>
    <row r="87" spans="2:11">
      <c r="B87" s="28"/>
      <c r="C87" s="28"/>
      <c r="D87" s="44"/>
      <c r="E87" s="44"/>
      <c r="F87" s="29"/>
      <c r="G87" s="28"/>
      <c r="H87" s="44"/>
      <c r="I87" s="28"/>
      <c r="J87" s="44"/>
      <c r="K87" s="44"/>
    </row>
    <row r="88" spans="2:11">
      <c r="B88" s="28"/>
      <c r="C88" s="28"/>
      <c r="D88" s="44"/>
      <c r="E88" s="44"/>
      <c r="F88" s="29"/>
      <c r="G88" s="28"/>
      <c r="H88" s="44"/>
      <c r="I88" s="28"/>
      <c r="J88" s="44"/>
      <c r="K88" s="44"/>
    </row>
    <row r="89" spans="2:11">
      <c r="B89" s="28"/>
      <c r="C89" s="28"/>
      <c r="D89" s="44"/>
      <c r="E89" s="44"/>
      <c r="F89" s="29"/>
      <c r="G89" s="28"/>
      <c r="H89" s="44"/>
      <c r="I89" s="28"/>
      <c r="J89" s="44"/>
      <c r="K89" s="44"/>
    </row>
    <row r="90" spans="2:11">
      <c r="B90" s="28"/>
      <c r="C90" s="28"/>
      <c r="D90" s="44"/>
      <c r="E90" s="44"/>
      <c r="F90" s="29"/>
      <c r="G90" s="28"/>
      <c r="H90" s="44"/>
      <c r="I90" s="28"/>
      <c r="J90" s="44"/>
      <c r="K90" s="44"/>
    </row>
    <row r="91" spans="2:11">
      <c r="B91" s="28"/>
      <c r="C91" s="28"/>
      <c r="D91" s="44"/>
      <c r="E91" s="44"/>
      <c r="F91" s="29"/>
      <c r="G91" s="28"/>
      <c r="H91" s="44"/>
      <c r="I91" s="28"/>
      <c r="J91" s="44"/>
      <c r="K91" s="44"/>
    </row>
    <row r="92" spans="2:11">
      <c r="B92" s="28"/>
      <c r="C92" s="28"/>
      <c r="D92" s="44"/>
      <c r="E92" s="44"/>
      <c r="F92" s="29"/>
      <c r="G92" s="28"/>
      <c r="H92" s="44"/>
      <c r="I92" s="28"/>
      <c r="J92" s="44"/>
      <c r="K92" s="44"/>
    </row>
    <row r="93" spans="2:11">
      <c r="B93" s="28"/>
      <c r="C93" s="28"/>
      <c r="D93" s="44"/>
      <c r="E93" s="44"/>
      <c r="F93" s="29"/>
      <c r="G93" s="28"/>
      <c r="H93" s="44"/>
      <c r="I93" s="28"/>
      <c r="J93" s="44"/>
      <c r="K93" s="44"/>
    </row>
    <row r="94" spans="2:11">
      <c r="B94" s="28"/>
      <c r="C94" s="28"/>
      <c r="D94" s="44"/>
      <c r="E94" s="44"/>
      <c r="F94" s="29"/>
      <c r="G94" s="28"/>
      <c r="H94" s="44"/>
      <c r="I94" s="28"/>
      <c r="J94" s="44"/>
      <c r="K94" s="44"/>
    </row>
    <row r="95" spans="2:11">
      <c r="B95" s="28"/>
      <c r="C95" s="28"/>
      <c r="D95" s="44"/>
      <c r="E95" s="44"/>
      <c r="F95" s="29"/>
      <c r="G95" s="28"/>
      <c r="H95" s="44"/>
      <c r="I95" s="28"/>
      <c r="J95" s="44"/>
      <c r="K95" s="44"/>
    </row>
    <row r="96" spans="2:11">
      <c r="B96" s="28"/>
      <c r="C96" s="28"/>
      <c r="D96" s="44"/>
      <c r="E96" s="44"/>
      <c r="F96" s="29"/>
      <c r="G96" s="28"/>
      <c r="H96" s="44"/>
      <c r="I96" s="28"/>
      <c r="J96" s="44"/>
      <c r="K96" s="44"/>
    </row>
    <row r="97" spans="2:11">
      <c r="B97" s="28"/>
      <c r="C97" s="28"/>
      <c r="D97" s="44"/>
      <c r="E97" s="44"/>
      <c r="F97" s="29"/>
      <c r="G97" s="28"/>
      <c r="H97" s="44"/>
      <c r="I97" s="28"/>
      <c r="J97" s="44"/>
      <c r="K97" s="44"/>
    </row>
    <row r="98" spans="2:11">
      <c r="B98" s="28"/>
      <c r="C98" s="28"/>
      <c r="D98" s="44"/>
      <c r="E98" s="44"/>
      <c r="F98" s="29"/>
      <c r="G98" s="28"/>
      <c r="H98" s="44"/>
      <c r="I98" s="28"/>
      <c r="J98" s="44"/>
      <c r="K98" s="44"/>
    </row>
    <row r="99" spans="2:11">
      <c r="B99" s="28"/>
      <c r="C99" s="28"/>
      <c r="D99" s="44"/>
      <c r="E99" s="44"/>
      <c r="F99" s="29"/>
      <c r="G99" s="28"/>
      <c r="H99" s="44"/>
      <c r="I99" s="28"/>
      <c r="J99" s="44"/>
      <c r="K99" s="44"/>
    </row>
    <row r="100" spans="2:11">
      <c r="B100" s="28"/>
      <c r="C100" s="28"/>
      <c r="D100" s="44"/>
      <c r="E100" s="44"/>
      <c r="F100" s="29"/>
      <c r="G100" s="28"/>
      <c r="H100" s="44"/>
      <c r="I100" s="28"/>
      <c r="J100" s="44"/>
      <c r="K100" s="44"/>
    </row>
    <row r="101" spans="2:11">
      <c r="B101" s="28"/>
      <c r="C101" s="28"/>
      <c r="D101" s="44"/>
      <c r="E101" s="44"/>
      <c r="F101" s="29"/>
      <c r="G101" s="28"/>
      <c r="H101" s="44"/>
      <c r="I101" s="28"/>
      <c r="J101" s="44"/>
      <c r="K101" s="44"/>
    </row>
    <row r="102" spans="2:11">
      <c r="B102" s="28"/>
      <c r="C102" s="28"/>
      <c r="D102" s="44"/>
      <c r="E102" s="44"/>
      <c r="F102" s="29"/>
      <c r="G102" s="28"/>
      <c r="H102" s="44"/>
      <c r="I102" s="28"/>
      <c r="J102" s="44"/>
      <c r="K102" s="44"/>
    </row>
    <row r="103" spans="2:11">
      <c r="B103" s="28"/>
      <c r="C103" s="28"/>
      <c r="D103" s="44"/>
      <c r="E103" s="44"/>
      <c r="F103" s="29"/>
      <c r="G103" s="28"/>
      <c r="H103" s="44"/>
      <c r="I103" s="28"/>
      <c r="J103" s="44"/>
      <c r="K103" s="44"/>
    </row>
    <row r="104" spans="2:11">
      <c r="B104" s="28"/>
      <c r="C104" s="28"/>
      <c r="D104" s="44"/>
      <c r="E104" s="44"/>
      <c r="F104" s="29"/>
      <c r="G104" s="28"/>
      <c r="H104" s="44"/>
      <c r="I104" s="28"/>
      <c r="J104" s="44"/>
      <c r="K104" s="44"/>
    </row>
    <row r="105" spans="2:11">
      <c r="B105" s="28"/>
      <c r="C105" s="28"/>
      <c r="D105" s="44"/>
      <c r="E105" s="44"/>
      <c r="F105" s="29"/>
      <c r="G105" s="28"/>
      <c r="H105" s="44"/>
      <c r="I105" s="28"/>
      <c r="J105" s="44"/>
      <c r="K105" s="44"/>
    </row>
    <row r="106" spans="2:11">
      <c r="B106" s="28"/>
      <c r="C106" s="28"/>
      <c r="D106" s="44"/>
      <c r="E106" s="44"/>
      <c r="F106" s="29"/>
      <c r="G106" s="28"/>
      <c r="H106" s="44"/>
      <c r="I106" s="28"/>
      <c r="J106" s="44"/>
      <c r="K106" s="44"/>
    </row>
    <row r="107" spans="2:11">
      <c r="B107" s="28"/>
      <c r="C107" s="28"/>
      <c r="D107" s="44"/>
      <c r="E107" s="44"/>
      <c r="F107" s="29"/>
      <c r="G107" s="28"/>
      <c r="H107" s="44"/>
      <c r="I107" s="28"/>
      <c r="J107" s="44"/>
      <c r="K107" s="44"/>
    </row>
    <row r="108" spans="2:11">
      <c r="B108" s="28"/>
      <c r="C108" s="28"/>
      <c r="D108" s="44"/>
      <c r="E108" s="44"/>
      <c r="F108" s="29"/>
      <c r="G108" s="28"/>
      <c r="H108" s="44"/>
      <c r="I108" s="28"/>
      <c r="J108" s="44"/>
      <c r="K108" s="44"/>
    </row>
    <row r="109" spans="2:11">
      <c r="B109" s="28"/>
      <c r="C109" s="28"/>
      <c r="D109" s="44"/>
      <c r="E109" s="44"/>
      <c r="F109" s="29"/>
      <c r="G109" s="28"/>
      <c r="H109" s="44"/>
      <c r="I109" s="28"/>
      <c r="J109" s="44"/>
      <c r="K109" s="44"/>
    </row>
    <row r="110" spans="2:11">
      <c r="B110" s="28"/>
      <c r="C110" s="28"/>
      <c r="D110" s="44"/>
      <c r="E110" s="44"/>
      <c r="F110" s="29"/>
      <c r="G110" s="28"/>
      <c r="H110" s="44"/>
      <c r="I110" s="28"/>
      <c r="J110" s="44"/>
      <c r="K110" s="44"/>
    </row>
    <row r="111" spans="2:11">
      <c r="B111" s="28"/>
      <c r="C111" s="28"/>
      <c r="D111" s="44"/>
      <c r="E111" s="44"/>
      <c r="F111" s="29"/>
      <c r="G111" s="28"/>
      <c r="H111" s="44"/>
      <c r="I111" s="28"/>
      <c r="J111" s="44"/>
      <c r="K111" s="44"/>
    </row>
    <row r="112" spans="2:11">
      <c r="B112" s="28"/>
      <c r="C112" s="28"/>
      <c r="D112" s="44"/>
      <c r="E112" s="44"/>
      <c r="F112" s="29"/>
      <c r="G112" s="28"/>
      <c r="H112" s="44"/>
      <c r="I112" s="28"/>
      <c r="J112" s="44"/>
      <c r="K112" s="44"/>
    </row>
    <row r="113" spans="2:11">
      <c r="B113" s="28"/>
      <c r="C113" s="28"/>
      <c r="D113" s="44"/>
      <c r="E113" s="44"/>
      <c r="F113" s="29"/>
      <c r="G113" s="28"/>
      <c r="H113" s="44"/>
      <c r="I113" s="28"/>
      <c r="J113" s="44"/>
      <c r="K113" s="44"/>
    </row>
    <row r="114" spans="2:11">
      <c r="B114" s="28"/>
      <c r="C114" s="28"/>
      <c r="D114" s="44"/>
      <c r="E114" s="44"/>
      <c r="F114" s="29"/>
      <c r="G114" s="28"/>
      <c r="H114" s="44"/>
      <c r="I114" s="28"/>
      <c r="J114" s="44"/>
      <c r="K114" s="44"/>
    </row>
    <row r="115" spans="2:11">
      <c r="B115" s="28"/>
      <c r="C115" s="28"/>
      <c r="D115" s="44"/>
      <c r="E115" s="44"/>
      <c r="F115" s="29"/>
      <c r="G115" s="28"/>
      <c r="H115" s="44"/>
      <c r="I115" s="28"/>
      <c r="J115" s="44"/>
      <c r="K115" s="44"/>
    </row>
    <row r="116" spans="2:11">
      <c r="B116" s="28"/>
      <c r="C116" s="28"/>
      <c r="D116" s="44"/>
      <c r="E116" s="44"/>
      <c r="F116" s="29"/>
      <c r="G116" s="28"/>
      <c r="H116" s="44"/>
      <c r="I116" s="28"/>
      <c r="J116" s="44"/>
      <c r="K116" s="44"/>
    </row>
    <row r="117" spans="2:11">
      <c r="B117" s="28"/>
      <c r="C117" s="28"/>
      <c r="D117" s="44"/>
      <c r="E117" s="44"/>
      <c r="F117" s="29"/>
      <c r="G117" s="28"/>
      <c r="H117" s="44"/>
      <c r="I117" s="28"/>
      <c r="J117" s="44"/>
      <c r="K117" s="44"/>
    </row>
    <row r="118" spans="2:11">
      <c r="B118" s="28"/>
      <c r="C118" s="28"/>
      <c r="D118" s="44"/>
      <c r="E118" s="44"/>
      <c r="F118" s="29"/>
      <c r="G118" s="28"/>
      <c r="H118" s="44"/>
      <c r="I118" s="28"/>
      <c r="J118" s="44"/>
      <c r="K118" s="44"/>
    </row>
    <row r="119" spans="2:11">
      <c r="B119" s="28"/>
      <c r="C119" s="28"/>
      <c r="D119" s="44"/>
      <c r="E119" s="44"/>
      <c r="F119" s="29"/>
      <c r="G119" s="28"/>
      <c r="H119" s="44"/>
      <c r="I119" s="28"/>
      <c r="J119" s="44"/>
      <c r="K119" s="44"/>
    </row>
    <row r="120" spans="2:11">
      <c r="B120" s="28"/>
      <c r="C120" s="28"/>
      <c r="D120" s="44"/>
      <c r="E120" s="44"/>
      <c r="F120" s="29"/>
      <c r="G120" s="28"/>
      <c r="H120" s="44"/>
      <c r="I120" s="28"/>
      <c r="J120" s="44"/>
      <c r="K120" s="44"/>
    </row>
    <row r="121" spans="2:11">
      <c r="B121" s="28"/>
      <c r="C121" s="28"/>
      <c r="D121" s="44"/>
      <c r="E121" s="44"/>
      <c r="F121" s="29"/>
      <c r="G121" s="28"/>
      <c r="H121" s="44"/>
      <c r="I121" s="28"/>
      <c r="J121" s="44"/>
      <c r="K121" s="44"/>
    </row>
    <row r="122" spans="2:11">
      <c r="B122" s="28"/>
      <c r="C122" s="28"/>
      <c r="D122" s="44"/>
      <c r="E122" s="44"/>
      <c r="F122" s="29"/>
      <c r="G122" s="28"/>
      <c r="H122" s="44"/>
      <c r="I122" s="28"/>
      <c r="J122" s="44"/>
      <c r="K122" s="44"/>
    </row>
    <row r="123" spans="2:11">
      <c r="B123" s="28"/>
      <c r="C123" s="28"/>
      <c r="D123" s="44"/>
      <c r="E123" s="44"/>
      <c r="F123" s="29"/>
      <c r="G123" s="28"/>
      <c r="H123" s="44"/>
      <c r="I123" s="28"/>
      <c r="J123" s="44"/>
      <c r="K123" s="44"/>
    </row>
    <row r="124" spans="2:11">
      <c r="B124" s="28"/>
      <c r="C124" s="28"/>
      <c r="D124" s="44"/>
      <c r="E124" s="44"/>
      <c r="F124" s="29"/>
      <c r="G124" s="28"/>
      <c r="H124" s="44"/>
      <c r="I124" s="28"/>
      <c r="J124" s="44"/>
      <c r="K124" s="44"/>
    </row>
    <row r="125" spans="2:11">
      <c r="B125" s="28"/>
      <c r="C125" s="28"/>
      <c r="D125" s="44"/>
      <c r="E125" s="44"/>
      <c r="F125" s="29"/>
      <c r="G125" s="28"/>
      <c r="H125" s="44"/>
      <c r="I125" s="28"/>
      <c r="J125" s="44"/>
      <c r="K125" s="44"/>
    </row>
    <row r="126" spans="2:11">
      <c r="B126" s="28"/>
      <c r="C126" s="28"/>
      <c r="D126" s="44"/>
      <c r="E126" s="44"/>
      <c r="F126" s="29"/>
      <c r="G126" s="28"/>
      <c r="H126" s="44"/>
      <c r="I126" s="28"/>
      <c r="J126" s="44"/>
      <c r="K126" s="44"/>
    </row>
    <row r="127" spans="2:11">
      <c r="B127" s="28"/>
      <c r="C127" s="28"/>
      <c r="D127" s="44"/>
      <c r="E127" s="44"/>
      <c r="F127" s="29"/>
      <c r="G127" s="28"/>
      <c r="H127" s="44"/>
      <c r="I127" s="28"/>
      <c r="J127" s="44"/>
      <c r="K127" s="44"/>
    </row>
    <row r="128" spans="2:11">
      <c r="B128" s="28"/>
      <c r="C128" s="28"/>
      <c r="D128" s="44"/>
      <c r="E128" s="44"/>
      <c r="F128" s="29"/>
      <c r="G128" s="28"/>
      <c r="H128" s="44"/>
      <c r="I128" s="28"/>
      <c r="J128" s="44"/>
      <c r="K128" s="44"/>
    </row>
    <row r="129" spans="2:11">
      <c r="B129" s="28"/>
      <c r="C129" s="28"/>
      <c r="D129" s="44"/>
      <c r="E129" s="44"/>
      <c r="F129" s="29"/>
      <c r="G129" s="28"/>
      <c r="H129" s="44"/>
      <c r="I129" s="28"/>
      <c r="J129" s="44"/>
      <c r="K129" s="44"/>
    </row>
    <row r="130" spans="2:11">
      <c r="B130" s="28"/>
      <c r="C130" s="28"/>
      <c r="D130" s="44"/>
      <c r="E130" s="44"/>
      <c r="F130" s="29"/>
      <c r="G130" s="28"/>
      <c r="H130" s="44"/>
      <c r="I130" s="28"/>
      <c r="J130" s="44"/>
      <c r="K130" s="44"/>
    </row>
    <row r="131" spans="2:11">
      <c r="B131" s="28"/>
      <c r="C131" s="28"/>
      <c r="D131" s="44"/>
      <c r="E131" s="44"/>
      <c r="F131" s="29"/>
      <c r="G131" s="28"/>
      <c r="H131" s="44"/>
      <c r="I131" s="28"/>
      <c r="J131" s="44"/>
      <c r="K131" s="44"/>
    </row>
    <row r="132" spans="2:11">
      <c r="B132" s="28"/>
      <c r="C132" s="28"/>
      <c r="D132" s="44"/>
      <c r="E132" s="44"/>
      <c r="F132" s="29"/>
      <c r="G132" s="28"/>
      <c r="H132" s="44"/>
      <c r="I132" s="28"/>
      <c r="J132" s="44"/>
      <c r="K132" s="44"/>
    </row>
    <row r="133" spans="2:11">
      <c r="B133" s="28"/>
      <c r="C133" s="28"/>
      <c r="D133" s="44"/>
      <c r="E133" s="44"/>
      <c r="F133" s="29"/>
      <c r="G133" s="28"/>
      <c r="H133" s="44"/>
      <c r="I133" s="28"/>
      <c r="J133" s="44"/>
      <c r="K133" s="44"/>
    </row>
    <row r="134" spans="2:11">
      <c r="B134" s="28"/>
      <c r="C134" s="28"/>
      <c r="D134" s="44"/>
      <c r="E134" s="44"/>
      <c r="F134" s="29"/>
      <c r="G134" s="28"/>
      <c r="H134" s="44"/>
      <c r="I134" s="28"/>
      <c r="J134" s="44"/>
      <c r="K134" s="44"/>
    </row>
    <row r="135" spans="2:11">
      <c r="B135" s="28"/>
      <c r="C135" s="28"/>
      <c r="D135" s="44"/>
      <c r="E135" s="44"/>
      <c r="F135" s="29"/>
      <c r="G135" s="28"/>
      <c r="H135" s="44"/>
      <c r="I135" s="28"/>
      <c r="J135" s="44"/>
      <c r="K135" s="44"/>
    </row>
    <row r="136" spans="2:11">
      <c r="B136" s="28"/>
      <c r="C136" s="28"/>
      <c r="D136" s="44"/>
      <c r="E136" s="44"/>
      <c r="F136" s="29"/>
      <c r="G136" s="28"/>
      <c r="H136" s="44"/>
      <c r="I136" s="28"/>
      <c r="J136" s="44"/>
      <c r="K136" s="44"/>
    </row>
    <row r="137" spans="2:11">
      <c r="B137" s="28"/>
      <c r="C137" s="28"/>
      <c r="D137" s="44"/>
      <c r="E137" s="44"/>
      <c r="F137" s="29"/>
      <c r="G137" s="28"/>
      <c r="H137" s="44"/>
      <c r="I137" s="28"/>
      <c r="J137" s="44"/>
      <c r="K137" s="44"/>
    </row>
    <row r="138" spans="2:11">
      <c r="B138" s="28"/>
      <c r="C138" s="28"/>
      <c r="D138" s="44"/>
      <c r="E138" s="44"/>
      <c r="F138" s="29"/>
      <c r="G138" s="28"/>
      <c r="H138" s="44"/>
      <c r="I138" s="28"/>
      <c r="J138" s="44"/>
      <c r="K138" s="44"/>
    </row>
    <row r="139" spans="2:11">
      <c r="B139" s="28"/>
      <c r="C139" s="28"/>
      <c r="D139" s="44"/>
      <c r="E139" s="44"/>
      <c r="F139" s="29"/>
      <c r="G139" s="28"/>
      <c r="H139" s="44"/>
      <c r="I139" s="28"/>
      <c r="J139" s="44"/>
      <c r="K139" s="44"/>
    </row>
    <row r="140" spans="2:11">
      <c r="B140" s="28"/>
      <c r="C140" s="28"/>
      <c r="D140" s="44"/>
      <c r="E140" s="44"/>
      <c r="F140" s="29"/>
      <c r="G140" s="28"/>
      <c r="H140" s="44"/>
      <c r="I140" s="28"/>
      <c r="J140" s="44"/>
      <c r="K140" s="44"/>
    </row>
    <row r="141" spans="2:11">
      <c r="B141" s="28"/>
      <c r="C141" s="28"/>
      <c r="D141" s="44"/>
      <c r="E141" s="44"/>
      <c r="F141" s="29"/>
      <c r="G141" s="28"/>
      <c r="H141" s="44"/>
      <c r="I141" s="28"/>
      <c r="J141" s="44"/>
      <c r="K141" s="44"/>
    </row>
    <row r="142" spans="2:11">
      <c r="B142" s="28"/>
      <c r="C142" s="28"/>
      <c r="D142" s="44"/>
      <c r="E142" s="44"/>
      <c r="F142" s="29"/>
      <c r="G142" s="28"/>
      <c r="H142" s="44"/>
      <c r="I142" s="28"/>
      <c r="J142" s="44"/>
      <c r="K142" s="44"/>
    </row>
    <row r="143" spans="2:11">
      <c r="B143" s="28"/>
      <c r="C143" s="28"/>
      <c r="D143" s="44"/>
      <c r="E143" s="44"/>
      <c r="F143" s="29"/>
      <c r="G143" s="28"/>
      <c r="H143" s="44"/>
      <c r="I143" s="28"/>
      <c r="J143" s="44"/>
      <c r="K143" s="44"/>
    </row>
    <row r="144" spans="2:11">
      <c r="B144" s="28"/>
      <c r="C144" s="28"/>
      <c r="D144" s="44"/>
      <c r="E144" s="44"/>
      <c r="F144" s="29"/>
      <c r="G144" s="28"/>
      <c r="H144" s="44"/>
      <c r="I144" s="28"/>
      <c r="J144" s="44"/>
      <c r="K144" s="44"/>
    </row>
    <row r="145" spans="2:11">
      <c r="B145" s="28"/>
      <c r="C145" s="28"/>
      <c r="D145" s="44"/>
      <c r="E145" s="44"/>
      <c r="F145" s="29"/>
      <c r="G145" s="28"/>
      <c r="H145" s="44"/>
      <c r="I145" s="28"/>
      <c r="J145" s="44"/>
      <c r="K145" s="44"/>
    </row>
    <row r="146" spans="2:11">
      <c r="B146" s="28"/>
      <c r="C146" s="28"/>
      <c r="D146" s="44"/>
      <c r="E146" s="44"/>
      <c r="F146" s="29"/>
      <c r="G146" s="28"/>
      <c r="H146" s="44"/>
      <c r="I146" s="28"/>
      <c r="J146" s="44"/>
      <c r="K146" s="44"/>
    </row>
    <row r="147" spans="2:11">
      <c r="B147" s="28"/>
      <c r="C147" s="28"/>
      <c r="D147" s="44"/>
      <c r="E147" s="44"/>
      <c r="F147" s="29"/>
      <c r="G147" s="28"/>
      <c r="H147" s="44"/>
      <c r="I147" s="28"/>
      <c r="J147" s="44"/>
      <c r="K147" s="44"/>
    </row>
    <row r="148" spans="2:11">
      <c r="B148" s="28"/>
      <c r="C148" s="28"/>
      <c r="D148" s="44"/>
      <c r="E148" s="44"/>
      <c r="F148" s="29"/>
      <c r="G148" s="28"/>
      <c r="H148" s="44"/>
      <c r="I148" s="28"/>
      <c r="J148" s="44"/>
      <c r="K148" s="44"/>
    </row>
    <row r="149" spans="2:11">
      <c r="B149" s="28"/>
      <c r="C149" s="28"/>
      <c r="D149" s="44"/>
      <c r="E149" s="44"/>
      <c r="F149" s="29"/>
      <c r="G149" s="28"/>
      <c r="H149" s="44"/>
      <c r="I149" s="28"/>
      <c r="J149" s="44"/>
      <c r="K149" s="44"/>
    </row>
    <row r="150" spans="2:11">
      <c r="B150" s="28"/>
      <c r="C150" s="28"/>
      <c r="D150" s="44"/>
      <c r="E150" s="44"/>
      <c r="F150" s="29"/>
      <c r="G150" s="28"/>
      <c r="H150" s="44"/>
      <c r="I150" s="28"/>
      <c r="J150" s="44"/>
      <c r="K150" s="44"/>
    </row>
    <row r="151" spans="2:11">
      <c r="B151" s="28"/>
      <c r="C151" s="28"/>
      <c r="D151" s="44"/>
      <c r="E151" s="44"/>
      <c r="F151" s="29"/>
      <c r="G151" s="28"/>
      <c r="H151" s="44"/>
      <c r="I151" s="28"/>
      <c r="J151" s="44"/>
      <c r="K151" s="44"/>
    </row>
    <row r="152" spans="2:11">
      <c r="B152" s="28"/>
      <c r="C152" s="28"/>
      <c r="D152" s="44"/>
      <c r="E152" s="44"/>
      <c r="F152" s="29"/>
      <c r="G152" s="28"/>
      <c r="H152" s="44"/>
      <c r="I152" s="28"/>
      <c r="J152" s="44"/>
      <c r="K152" s="44"/>
    </row>
    <row r="153" spans="2:11">
      <c r="B153" s="28"/>
      <c r="C153" s="28"/>
      <c r="D153" s="44"/>
      <c r="E153" s="44"/>
      <c r="F153" s="29"/>
      <c r="G153" s="28"/>
      <c r="H153" s="44"/>
      <c r="I153" s="28"/>
      <c r="J153" s="44"/>
      <c r="K153" s="44"/>
    </row>
    <row r="154" spans="2:11">
      <c r="B154" s="28"/>
      <c r="C154" s="28"/>
      <c r="D154" s="44"/>
      <c r="E154" s="44"/>
      <c r="F154" s="29"/>
      <c r="G154" s="28"/>
      <c r="H154" s="44"/>
      <c r="I154" s="28"/>
      <c r="J154" s="44"/>
      <c r="K154" s="44"/>
    </row>
    <row r="155" spans="2:11">
      <c r="B155" s="28"/>
      <c r="C155" s="28"/>
      <c r="D155" s="44"/>
      <c r="E155" s="44"/>
      <c r="F155" s="29"/>
      <c r="G155" s="28"/>
      <c r="H155" s="44"/>
      <c r="I155" s="28"/>
      <c r="J155" s="44"/>
      <c r="K155" s="44"/>
    </row>
  </sheetData>
  <autoFilter ref="B5:K22" xr:uid="{58AD8853-3A03-42A7-9A39-D5754A75F5E5}"/>
  <sortState xmlns:xlrd2="http://schemas.microsoft.com/office/spreadsheetml/2017/richdata2" ref="B6:K22">
    <sortCondition ref="F6:F22"/>
    <sortCondition ref="H6:H22"/>
  </sortState>
  <mergeCells count="1">
    <mergeCell ref="N2:N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DE71-4F63-4857-A44D-CB3DB5E63DB9}">
  <sheetPr>
    <tabColor rgb="FF00B050"/>
  </sheetPr>
  <dimension ref="B2:M19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baseColWidth="10" defaultColWidth="12.75" defaultRowHeight="15" customHeight="1"/>
  <cols>
    <col min="1" max="1" width="3.375" style="35" customWidth="1"/>
    <col min="2" max="2" width="13.375" style="51" bestFit="1" customWidth="1"/>
    <col min="3" max="3" width="5" style="51" customWidth="1"/>
    <col min="4" max="4" width="7" style="51" bestFit="1" customWidth="1"/>
    <col min="5" max="5" width="11.625" style="51" bestFit="1" customWidth="1"/>
    <col min="6" max="6" width="38.375" style="51" bestFit="1" customWidth="1"/>
    <col min="7" max="7" width="13.625" style="51" bestFit="1" customWidth="1"/>
    <col min="8" max="8" width="13" style="51" bestFit="1" customWidth="1"/>
    <col min="9" max="9" width="25.75" style="51" bestFit="1" customWidth="1"/>
    <col min="10" max="10" width="16.625" style="51" bestFit="1" customWidth="1"/>
    <col min="11" max="11" width="20.125" style="51" bestFit="1" customWidth="1"/>
    <col min="12" max="12" width="23.375" style="35" bestFit="1" customWidth="1"/>
    <col min="13" max="13" width="77.125" style="35" bestFit="1" customWidth="1"/>
    <col min="14" max="16" width="11.375" style="35" customWidth="1"/>
    <col min="17" max="16384" width="12.75" style="35"/>
  </cols>
  <sheetData>
    <row r="2" spans="2:13" ht="14.25" customHeight="1">
      <c r="B2" s="158" t="s">
        <v>36</v>
      </c>
      <c r="C2" s="158"/>
      <c r="D2" s="158"/>
      <c r="E2" s="158"/>
      <c r="F2" s="79"/>
      <c r="G2" s="88"/>
      <c r="I2" s="88"/>
      <c r="K2" s="115">
        <f>SUBTOTAL(9,K4:K1048576)</f>
        <v>45000</v>
      </c>
    </row>
    <row r="3" spans="2:13" ht="15" customHeight="1">
      <c r="B3" s="34" t="s">
        <v>465</v>
      </c>
      <c r="C3" s="34" t="s">
        <v>38</v>
      </c>
      <c r="D3" s="34" t="s">
        <v>472</v>
      </c>
      <c r="E3" s="34" t="s">
        <v>335</v>
      </c>
      <c r="F3" s="34" t="s">
        <v>29</v>
      </c>
      <c r="G3" s="34" t="s">
        <v>53</v>
      </c>
      <c r="H3" s="34" t="s">
        <v>175</v>
      </c>
      <c r="I3" s="34" t="s">
        <v>70</v>
      </c>
      <c r="J3" s="34" t="s">
        <v>466</v>
      </c>
      <c r="K3" s="34" t="s">
        <v>473</v>
      </c>
      <c r="L3" s="34" t="s">
        <v>474</v>
      </c>
      <c r="M3" s="34" t="s">
        <v>475</v>
      </c>
    </row>
    <row r="4" spans="2:13" ht="15" customHeight="1">
      <c r="B4" s="42">
        <v>2026</v>
      </c>
      <c r="C4" s="42">
        <v>7</v>
      </c>
      <c r="D4" s="42">
        <v>1</v>
      </c>
      <c r="E4" s="42" t="s">
        <v>308</v>
      </c>
      <c r="F4" s="40" t="s">
        <v>380</v>
      </c>
      <c r="G4" s="46">
        <v>46212</v>
      </c>
      <c r="H4" s="145">
        <v>0.70833333333333337</v>
      </c>
      <c r="I4" s="47" t="s">
        <v>125</v>
      </c>
      <c r="J4" s="124" t="s">
        <v>5</v>
      </c>
      <c r="K4" s="150">
        <v>15000</v>
      </c>
      <c r="L4" s="87" t="s">
        <v>563</v>
      </c>
      <c r="M4" s="87" t="s">
        <v>564</v>
      </c>
    </row>
    <row r="5" spans="2:13" ht="15" customHeight="1">
      <c r="B5" s="42">
        <v>2026</v>
      </c>
      <c r="C5" s="42">
        <v>7</v>
      </c>
      <c r="D5" s="42">
        <v>1</v>
      </c>
      <c r="E5" s="42" t="s">
        <v>295</v>
      </c>
      <c r="F5" s="40" t="s">
        <v>374</v>
      </c>
      <c r="G5" s="46">
        <v>46212</v>
      </c>
      <c r="H5" s="145">
        <v>0.70833333333333337</v>
      </c>
      <c r="I5" s="47" t="s">
        <v>125</v>
      </c>
      <c r="J5" s="124" t="s">
        <v>5</v>
      </c>
      <c r="K5" s="150">
        <v>15000</v>
      </c>
      <c r="L5" s="87" t="s">
        <v>563</v>
      </c>
      <c r="M5" s="130" t="s">
        <v>564</v>
      </c>
    </row>
    <row r="6" spans="2:13" ht="15" customHeight="1">
      <c r="B6" s="42">
        <v>2026</v>
      </c>
      <c r="C6" s="42">
        <v>7</v>
      </c>
      <c r="D6" s="42">
        <v>1</v>
      </c>
      <c r="E6" s="42" t="s">
        <v>389</v>
      </c>
      <c r="F6" s="40" t="s">
        <v>390</v>
      </c>
      <c r="G6" s="46">
        <v>46218</v>
      </c>
      <c r="H6" s="145">
        <v>0.75</v>
      </c>
      <c r="I6" s="47" t="s">
        <v>947</v>
      </c>
      <c r="J6" s="124" t="s">
        <v>5</v>
      </c>
      <c r="K6" s="150">
        <v>15000</v>
      </c>
      <c r="L6" s="87" t="s">
        <v>948</v>
      </c>
      <c r="M6" s="130" t="s">
        <v>949</v>
      </c>
    </row>
    <row r="7" spans="2:13" ht="15" customHeight="1">
      <c r="B7" s="86"/>
      <c r="C7" s="86"/>
      <c r="D7" s="86"/>
      <c r="E7" s="86"/>
      <c r="F7" s="86"/>
      <c r="G7" s="86"/>
      <c r="H7" s="86"/>
      <c r="I7" s="87"/>
      <c r="J7" s="86"/>
      <c r="K7" s="86"/>
      <c r="L7" s="87"/>
      <c r="M7" s="87"/>
    </row>
    <row r="8" spans="2:13" ht="15" customHeight="1">
      <c r="B8" s="86"/>
      <c r="C8" s="86"/>
      <c r="D8" s="86"/>
      <c r="E8" s="86"/>
      <c r="F8" s="86"/>
      <c r="G8" s="86"/>
      <c r="H8" s="86"/>
      <c r="I8" s="87"/>
      <c r="J8" s="86"/>
      <c r="K8" s="86"/>
      <c r="L8" s="87"/>
      <c r="M8" s="87"/>
    </row>
    <row r="9" spans="2:13" ht="15" customHeight="1">
      <c r="B9" s="86"/>
      <c r="C9" s="86"/>
      <c r="D9" s="86"/>
      <c r="E9" s="86"/>
      <c r="F9" s="86"/>
      <c r="G9" s="86"/>
      <c r="H9" s="86"/>
      <c r="I9" s="87"/>
      <c r="J9" s="86"/>
      <c r="K9" s="86"/>
      <c r="L9" s="87"/>
      <c r="M9" s="87"/>
    </row>
    <row r="10" spans="2:13" ht="15" customHeight="1">
      <c r="B10" s="86"/>
      <c r="C10" s="86"/>
      <c r="D10" s="86"/>
      <c r="E10" s="86"/>
      <c r="F10" s="86"/>
      <c r="G10" s="86"/>
      <c r="H10" s="86"/>
      <c r="I10" s="87"/>
      <c r="J10" s="86"/>
      <c r="K10" s="86"/>
      <c r="L10" s="87"/>
      <c r="M10" s="87"/>
    </row>
    <row r="11" spans="2:13" ht="15" customHeight="1">
      <c r="B11" s="86"/>
      <c r="C11" s="86"/>
      <c r="D11" s="86"/>
      <c r="E11" s="86"/>
      <c r="F11" s="86"/>
      <c r="G11" s="86"/>
      <c r="H11" s="86"/>
      <c r="I11" s="87"/>
      <c r="J11" s="86"/>
      <c r="K11" s="86"/>
      <c r="L11" s="87"/>
      <c r="M11" s="87"/>
    </row>
    <row r="12" spans="2:13" ht="15" customHeight="1">
      <c r="B12" s="86"/>
      <c r="C12" s="86"/>
      <c r="D12" s="86"/>
      <c r="E12" s="86"/>
      <c r="F12" s="86"/>
      <c r="G12" s="86"/>
      <c r="H12" s="86"/>
      <c r="I12" s="87"/>
      <c r="J12" s="86"/>
      <c r="K12" s="86"/>
      <c r="L12" s="87"/>
      <c r="M12" s="87"/>
    </row>
    <row r="13" spans="2:13" ht="15" customHeight="1">
      <c r="B13" s="86"/>
      <c r="C13" s="86"/>
      <c r="D13" s="86"/>
      <c r="E13" s="86"/>
      <c r="F13" s="86"/>
      <c r="G13" s="86"/>
      <c r="H13" s="86"/>
      <c r="I13" s="87"/>
      <c r="J13" s="86"/>
      <c r="K13" s="86"/>
      <c r="L13" s="87"/>
      <c r="M13" s="87"/>
    </row>
    <row r="14" spans="2:13" ht="15" customHeight="1">
      <c r="B14" s="86"/>
      <c r="C14" s="86"/>
      <c r="D14" s="86"/>
      <c r="E14" s="86"/>
      <c r="F14" s="86"/>
      <c r="G14" s="86"/>
      <c r="H14" s="86"/>
      <c r="I14" s="87"/>
      <c r="J14" s="86"/>
      <c r="K14" s="86"/>
      <c r="L14" s="87"/>
      <c r="M14" s="87"/>
    </row>
    <row r="15" spans="2:13" ht="15" customHeight="1">
      <c r="B15" s="86"/>
      <c r="C15" s="86"/>
      <c r="D15" s="86"/>
      <c r="E15" s="86"/>
      <c r="F15" s="86"/>
      <c r="G15" s="86"/>
      <c r="H15" s="86"/>
      <c r="I15" s="87"/>
      <c r="J15" s="86"/>
      <c r="K15" s="86"/>
      <c r="L15" s="87"/>
      <c r="M15" s="87"/>
    </row>
    <row r="16" spans="2:13" ht="15" customHeight="1">
      <c r="B16" s="86"/>
      <c r="C16" s="86"/>
      <c r="D16" s="86"/>
      <c r="E16" s="86"/>
      <c r="F16" s="86"/>
      <c r="G16" s="86"/>
      <c r="H16" s="86"/>
      <c r="I16" s="87"/>
      <c r="J16" s="86"/>
      <c r="K16" s="86"/>
      <c r="L16" s="87"/>
      <c r="M16" s="87"/>
    </row>
    <row r="17" spans="2:13" ht="15" customHeight="1">
      <c r="B17" s="86"/>
      <c r="C17" s="86"/>
      <c r="D17" s="86"/>
      <c r="E17" s="86"/>
      <c r="F17" s="86"/>
      <c r="G17" s="86"/>
      <c r="H17" s="86"/>
      <c r="I17" s="87"/>
      <c r="J17" s="86"/>
      <c r="K17" s="86"/>
      <c r="L17" s="87"/>
      <c r="M17" s="87"/>
    </row>
    <row r="18" spans="2:13" ht="15" customHeight="1">
      <c r="B18" s="86"/>
      <c r="C18" s="86"/>
      <c r="D18" s="86"/>
      <c r="E18" s="86"/>
      <c r="F18" s="86"/>
      <c r="G18" s="86"/>
      <c r="H18" s="86"/>
      <c r="I18" s="87"/>
      <c r="J18" s="86"/>
      <c r="K18" s="86"/>
      <c r="L18" s="87"/>
      <c r="M18" s="87"/>
    </row>
    <row r="19" spans="2:13" ht="15" customHeight="1">
      <c r="B19" s="86"/>
      <c r="C19" s="86"/>
      <c r="D19" s="86"/>
      <c r="E19" s="86"/>
      <c r="F19" s="86"/>
      <c r="G19" s="86"/>
      <c r="H19" s="86"/>
      <c r="I19" s="87"/>
      <c r="J19" s="86"/>
      <c r="K19" s="86"/>
      <c r="L19" s="87"/>
      <c r="M19" s="87"/>
    </row>
  </sheetData>
  <mergeCells count="1">
    <mergeCell ref="B2:E2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O146"/>
  <sheetViews>
    <sheetView showGridLines="0" zoomScale="80" zoomScaleNormal="80" workbookViewId="0">
      <pane xSplit="1" ySplit="17" topLeftCell="B114" activePane="bottomRight" state="frozen"/>
      <selection pane="topRight" activeCell="B1" sqref="B1"/>
      <selection pane="bottomLeft" activeCell="A17" sqref="A17"/>
      <selection pane="bottomRight" activeCell="D13" sqref="D13"/>
    </sheetView>
  </sheetViews>
  <sheetFormatPr baseColWidth="10" defaultColWidth="12.75" defaultRowHeight="15" customHeight="1" outlineLevelRow="1"/>
  <cols>
    <col min="1" max="1" width="1.75" customWidth="1"/>
    <col min="2" max="2" width="30.75" bestFit="1" customWidth="1"/>
    <col min="3" max="3" width="19.375" style="43" customWidth="1"/>
    <col min="4" max="4" width="19.375" customWidth="1"/>
    <col min="5" max="5" width="21" bestFit="1" customWidth="1"/>
    <col min="6" max="6" width="22.25" customWidth="1"/>
    <col min="7" max="7" width="14.625" customWidth="1"/>
    <col min="8" max="8" width="11.25" customWidth="1"/>
    <col min="9" max="9" width="15.25" customWidth="1"/>
    <col min="10" max="10" width="18.25" customWidth="1"/>
    <col min="11" max="11" width="17.75" customWidth="1"/>
    <col min="12" max="12" width="63.875" customWidth="1"/>
    <col min="13" max="13" width="11.25" style="43" customWidth="1"/>
    <col min="14" max="14" width="11.625" style="43" customWidth="1"/>
  </cols>
  <sheetData>
    <row r="1" spans="2:10" ht="7.9" customHeight="1"/>
    <row r="2" spans="2:10" ht="14.25" customHeight="1">
      <c r="B2" s="4"/>
      <c r="C2" s="160" t="s">
        <v>476</v>
      </c>
      <c r="D2" s="160"/>
      <c r="F2" s="72" t="s">
        <v>495</v>
      </c>
      <c r="G2" s="73" t="s">
        <v>494</v>
      </c>
    </row>
    <row r="3" spans="2:10" ht="14.25" customHeight="1">
      <c r="B3" s="4"/>
      <c r="C3" s="49"/>
      <c r="F3" s="85">
        <f>VLOOKUP(C6,Resumen!C:Q,13,0)</f>
        <v>22689</v>
      </c>
      <c r="G3" s="71" t="str">
        <f>IF(F3=E13,"OK","REVISAR")</f>
        <v>REVISAR</v>
      </c>
    </row>
    <row r="4" spans="2:10" ht="14.25" customHeight="1">
      <c r="B4" s="4"/>
      <c r="C4" s="49"/>
    </row>
    <row r="5" spans="2:10" ht="10.9" customHeight="1">
      <c r="B5" s="4"/>
      <c r="C5" s="49"/>
    </row>
    <row r="6" spans="2:10" ht="14.25" customHeight="1">
      <c r="B6" s="6" t="s">
        <v>477</v>
      </c>
      <c r="C6" s="159" t="s">
        <v>354</v>
      </c>
      <c r="D6" s="159"/>
    </row>
    <row r="7" spans="2:10" ht="14.25" customHeight="1">
      <c r="B7" s="33" t="s">
        <v>487</v>
      </c>
      <c r="C7" s="50"/>
    </row>
    <row r="8" spans="2:10" ht="14.25" customHeight="1">
      <c r="B8" s="33" t="s">
        <v>488</v>
      </c>
      <c r="C8" s="50"/>
    </row>
    <row r="9" spans="2:10" ht="14.25" customHeight="1">
      <c r="B9" s="4"/>
      <c r="C9" s="50"/>
    </row>
    <row r="10" spans="2:10" ht="14.25" customHeight="1">
      <c r="B10" s="48" t="s">
        <v>482</v>
      </c>
      <c r="C10" s="50"/>
    </row>
    <row r="11" spans="2:10" ht="4.9000000000000004" customHeight="1">
      <c r="B11" s="52"/>
      <c r="C11" s="50"/>
    </row>
    <row r="12" spans="2:10" ht="14.25" customHeight="1">
      <c r="B12" s="54" t="s">
        <v>478</v>
      </c>
      <c r="C12" s="55" t="s">
        <v>40</v>
      </c>
      <c r="D12" s="55" t="s">
        <v>22</v>
      </c>
      <c r="E12" s="55" t="s">
        <v>41</v>
      </c>
      <c r="F12" s="55" t="s">
        <v>23</v>
      </c>
      <c r="G12" s="55" t="s">
        <v>479</v>
      </c>
      <c r="H12" s="55" t="s">
        <v>480</v>
      </c>
      <c r="I12" s="55" t="s">
        <v>24</v>
      </c>
      <c r="J12" s="55" t="s">
        <v>481</v>
      </c>
    </row>
    <row r="13" spans="2:10" ht="14.25" customHeight="1">
      <c r="B13" s="69">
        <f>SUM(D18:D101)</f>
        <v>0</v>
      </c>
      <c r="C13" s="62">
        <f>SUM(H120:H140)</f>
        <v>0</v>
      </c>
      <c r="D13" s="70">
        <f>SUM(G105:G114)</f>
        <v>0</v>
      </c>
      <c r="E13" s="70">
        <f>SUM(B13:D13)</f>
        <v>0</v>
      </c>
      <c r="F13" s="70">
        <f>VLOOKUP($C$6,Resumen!$C:$T,12,0)</f>
        <v>0</v>
      </c>
      <c r="G13" s="70">
        <f>VLOOKUP($C$6,Resumen!$C:$T,13,0)</f>
        <v>22689</v>
      </c>
      <c r="H13" s="118">
        <f>VLOOKUP($C$6,Resumen!$C:$T,14,0)</f>
        <v>0</v>
      </c>
      <c r="I13" s="70">
        <f>VLOOKUP($C$6,Resumen!$C:$T,15,0)</f>
        <v>0</v>
      </c>
      <c r="J13" s="70">
        <f>VLOOKUP($C$6,Resumen!$C:$T,16,0)</f>
        <v>0</v>
      </c>
    </row>
    <row r="14" spans="2:10" ht="14.25" customHeight="1">
      <c r="B14" s="4"/>
      <c r="C14" s="50"/>
    </row>
    <row r="15" spans="2:10" ht="14.25" customHeight="1">
      <c r="B15" s="56" t="s">
        <v>483</v>
      </c>
      <c r="C15" s="50"/>
    </row>
    <row r="16" spans="2:10" ht="6.6" customHeight="1">
      <c r="B16" s="33"/>
      <c r="C16" s="50"/>
    </row>
    <row r="17" spans="2:15" s="84" customFormat="1" ht="50.45" customHeight="1">
      <c r="B17" s="82" t="s">
        <v>29</v>
      </c>
      <c r="C17" s="82" t="s">
        <v>335</v>
      </c>
      <c r="D17" s="82" t="s">
        <v>469</v>
      </c>
      <c r="E17" s="83" t="s">
        <v>53</v>
      </c>
      <c r="F17" s="83" t="s">
        <v>0</v>
      </c>
      <c r="G17" s="83" t="s">
        <v>57</v>
      </c>
      <c r="H17" s="83" t="s">
        <v>58</v>
      </c>
      <c r="I17" s="83" t="s">
        <v>31</v>
      </c>
      <c r="J17" s="83" t="s">
        <v>32</v>
      </c>
      <c r="K17" s="83" t="s">
        <v>71</v>
      </c>
      <c r="L17" s="83" t="s">
        <v>491</v>
      </c>
      <c r="M17" s="83" t="s">
        <v>485</v>
      </c>
      <c r="N17" s="83" t="s">
        <v>490</v>
      </c>
      <c r="O17" s="83" t="s">
        <v>486</v>
      </c>
    </row>
    <row r="18" spans="2:15" ht="14.25" customHeight="1">
      <c r="B18" s="53" t="str" cm="1">
        <f t="array" ref="B18">_xlfn._xlws.FILTER(BASE!A3:N186,BASE!A3:A186=C6,"")</f>
        <v/>
      </c>
      <c r="C18" s="62"/>
      <c r="D18" s="63"/>
      <c r="E18" s="28"/>
      <c r="F18" s="28"/>
      <c r="G18" s="28"/>
      <c r="H18" s="28"/>
      <c r="I18" s="25"/>
      <c r="J18" s="25"/>
      <c r="K18" s="25"/>
      <c r="L18" s="25"/>
      <c r="M18" s="28"/>
      <c r="N18" s="28"/>
      <c r="O18" s="28"/>
    </row>
    <row r="19" spans="2:15" ht="14.25" customHeight="1">
      <c r="B19" s="53"/>
      <c r="C19" s="62"/>
      <c r="D19" s="63"/>
      <c r="E19" s="28"/>
      <c r="F19" s="28"/>
      <c r="G19" s="28"/>
      <c r="H19" s="28"/>
      <c r="I19" s="25"/>
      <c r="J19" s="25"/>
      <c r="K19" s="25"/>
      <c r="L19" s="25"/>
      <c r="M19" s="28"/>
      <c r="N19" s="28"/>
      <c r="O19" s="25"/>
    </row>
    <row r="20" spans="2:15" ht="14.25" customHeight="1">
      <c r="B20" s="53"/>
      <c r="C20" s="62"/>
      <c r="D20" s="63"/>
      <c r="E20" s="28"/>
      <c r="F20" s="28"/>
      <c r="G20" s="28"/>
      <c r="H20" s="28"/>
      <c r="I20" s="25"/>
      <c r="J20" s="25"/>
      <c r="K20" s="25"/>
      <c r="L20" s="25"/>
      <c r="M20" s="28"/>
      <c r="N20" s="28"/>
      <c r="O20" s="25"/>
    </row>
    <row r="21" spans="2:15" ht="14.25" customHeight="1">
      <c r="B21" s="53"/>
      <c r="C21" s="62"/>
      <c r="D21" s="63"/>
      <c r="E21" s="28"/>
      <c r="F21" s="28"/>
      <c r="G21" s="28"/>
      <c r="H21" s="28"/>
      <c r="I21" s="25"/>
      <c r="J21" s="25"/>
      <c r="K21" s="25"/>
      <c r="L21" s="25"/>
      <c r="M21" s="28"/>
      <c r="N21" s="28"/>
      <c r="O21" s="25"/>
    </row>
    <row r="22" spans="2:15" ht="14.25" customHeight="1">
      <c r="B22" s="53"/>
      <c r="C22" s="62"/>
      <c r="D22" s="63"/>
      <c r="E22" s="28"/>
      <c r="F22" s="28"/>
      <c r="G22" s="28"/>
      <c r="H22" s="28"/>
      <c r="I22" s="25"/>
      <c r="J22" s="25"/>
      <c r="K22" s="25"/>
      <c r="L22" s="25"/>
      <c r="M22" s="28"/>
      <c r="N22" s="28"/>
      <c r="O22" s="25"/>
    </row>
    <row r="23" spans="2:15" ht="14.25" customHeight="1">
      <c r="B23" s="53"/>
      <c r="C23" s="62"/>
      <c r="D23" s="63"/>
      <c r="E23" s="28"/>
      <c r="F23" s="28"/>
      <c r="G23" s="28"/>
      <c r="H23" s="28"/>
      <c r="I23" s="25"/>
      <c r="J23" s="25"/>
      <c r="K23" s="25"/>
      <c r="L23" s="25"/>
      <c r="M23" s="28"/>
      <c r="N23" s="28"/>
      <c r="O23" s="25"/>
    </row>
    <row r="24" spans="2:15" ht="14.25" customHeight="1">
      <c r="B24" s="53"/>
      <c r="C24" s="62"/>
      <c r="D24" s="63"/>
      <c r="E24" s="28"/>
      <c r="F24" s="28"/>
      <c r="G24" s="28"/>
      <c r="H24" s="28"/>
      <c r="I24" s="25"/>
      <c r="J24" s="25"/>
      <c r="K24" s="25"/>
      <c r="L24" s="25"/>
      <c r="M24" s="28"/>
      <c r="N24" s="28"/>
      <c r="O24" s="25"/>
    </row>
    <row r="25" spans="2:15" ht="14.25" customHeight="1">
      <c r="B25" s="53"/>
      <c r="C25" s="62"/>
      <c r="D25" s="63"/>
      <c r="E25" s="28"/>
      <c r="F25" s="28"/>
      <c r="G25" s="28"/>
      <c r="H25" s="28"/>
      <c r="I25" s="25"/>
      <c r="J25" s="25"/>
      <c r="K25" s="25"/>
      <c r="L25" s="25"/>
      <c r="M25" s="28"/>
      <c r="N25" s="28"/>
      <c r="O25" s="25"/>
    </row>
    <row r="26" spans="2:15" ht="14.25" customHeight="1">
      <c r="B26" s="53"/>
      <c r="C26" s="62"/>
      <c r="D26" s="63"/>
      <c r="E26" s="28"/>
      <c r="F26" s="28"/>
      <c r="G26" s="28"/>
      <c r="H26" s="28"/>
      <c r="I26" s="25"/>
      <c r="J26" s="25"/>
      <c r="K26" s="25"/>
      <c r="L26" s="25"/>
      <c r="M26" s="28"/>
      <c r="N26" s="28"/>
      <c r="O26" s="25"/>
    </row>
    <row r="27" spans="2:15" ht="14.25" customHeight="1">
      <c r="B27" s="53"/>
      <c r="C27" s="62"/>
      <c r="D27" s="63"/>
      <c r="E27" s="28"/>
      <c r="F27" s="28"/>
      <c r="G27" s="28"/>
      <c r="H27" s="28"/>
      <c r="I27" s="25"/>
      <c r="J27" s="25"/>
      <c r="K27" s="25"/>
      <c r="L27" s="25"/>
      <c r="M27" s="28"/>
      <c r="N27" s="28"/>
      <c r="O27" s="25"/>
    </row>
    <row r="28" spans="2:15" ht="14.25" customHeight="1">
      <c r="B28" s="53"/>
      <c r="C28" s="62"/>
      <c r="D28" s="63"/>
      <c r="E28" s="28"/>
      <c r="F28" s="28"/>
      <c r="G28" s="28"/>
      <c r="H28" s="28"/>
      <c r="I28" s="25"/>
      <c r="J28" s="25"/>
      <c r="K28" s="25"/>
      <c r="L28" s="25"/>
      <c r="M28" s="28"/>
      <c r="N28" s="28"/>
      <c r="O28" s="25"/>
    </row>
    <row r="29" spans="2:15" ht="14.25" customHeight="1">
      <c r="B29" s="53"/>
      <c r="C29" s="62"/>
      <c r="D29" s="63"/>
      <c r="E29" s="28"/>
      <c r="F29" s="28"/>
      <c r="G29" s="28"/>
      <c r="H29" s="28"/>
      <c r="I29" s="25"/>
      <c r="J29" s="25"/>
      <c r="K29" s="25"/>
      <c r="L29" s="25"/>
      <c r="M29" s="28"/>
      <c r="N29" s="28"/>
      <c r="O29" s="25"/>
    </row>
    <row r="30" spans="2:15" ht="14.25" customHeight="1">
      <c r="B30" s="53"/>
      <c r="C30" s="62"/>
      <c r="D30" s="63"/>
      <c r="E30" s="28"/>
      <c r="F30" s="28"/>
      <c r="G30" s="28"/>
      <c r="H30" s="28"/>
      <c r="I30" s="25"/>
      <c r="J30" s="25"/>
      <c r="K30" s="25"/>
      <c r="L30" s="25"/>
      <c r="M30" s="28"/>
      <c r="N30" s="28"/>
      <c r="O30" s="25"/>
    </row>
    <row r="31" spans="2:15" ht="14.25" customHeight="1">
      <c r="B31" s="53"/>
      <c r="C31" s="62"/>
      <c r="D31" s="63"/>
      <c r="E31" s="28"/>
      <c r="F31" s="28"/>
      <c r="G31" s="28"/>
      <c r="H31" s="28"/>
      <c r="I31" s="25"/>
      <c r="J31" s="25"/>
      <c r="K31" s="25"/>
      <c r="L31" s="25"/>
      <c r="M31" s="28"/>
      <c r="N31" s="28"/>
      <c r="O31" s="25"/>
    </row>
    <row r="32" spans="2:15" ht="14.25" customHeight="1">
      <c r="B32" s="53"/>
      <c r="C32" s="62"/>
      <c r="D32" s="63"/>
      <c r="E32" s="28"/>
      <c r="F32" s="28"/>
      <c r="G32" s="28"/>
      <c r="H32" s="28"/>
      <c r="I32" s="25"/>
      <c r="J32" s="25"/>
      <c r="K32" s="25"/>
      <c r="L32" s="25"/>
      <c r="M32" s="28"/>
      <c r="N32" s="28"/>
      <c r="O32" s="25"/>
    </row>
    <row r="33" spans="2:15" ht="14.25" customHeight="1">
      <c r="B33" s="53"/>
      <c r="C33" s="62"/>
      <c r="D33" s="63"/>
      <c r="E33" s="28"/>
      <c r="F33" s="28"/>
      <c r="G33" s="28"/>
      <c r="H33" s="28"/>
      <c r="I33" s="25"/>
      <c r="J33" s="25"/>
      <c r="K33" s="25"/>
      <c r="L33" s="25"/>
      <c r="M33" s="28"/>
      <c r="N33" s="28"/>
      <c r="O33" s="25"/>
    </row>
    <row r="34" spans="2:15" ht="14.25" customHeight="1">
      <c r="B34" s="53"/>
      <c r="C34" s="62"/>
      <c r="D34" s="63"/>
      <c r="E34" s="28"/>
      <c r="F34" s="28"/>
      <c r="G34" s="28"/>
      <c r="H34" s="28"/>
      <c r="I34" s="25"/>
      <c r="J34" s="25"/>
      <c r="K34" s="25"/>
      <c r="L34" s="25"/>
      <c r="M34" s="28"/>
      <c r="N34" s="28"/>
      <c r="O34" s="25"/>
    </row>
    <row r="35" spans="2:15" ht="14.25" customHeight="1">
      <c r="B35" s="53"/>
      <c r="C35" s="62"/>
      <c r="D35" s="63"/>
      <c r="E35" s="28"/>
      <c r="F35" s="28"/>
      <c r="G35" s="28"/>
      <c r="H35" s="28"/>
      <c r="I35" s="25"/>
      <c r="J35" s="25"/>
      <c r="K35" s="25"/>
      <c r="L35" s="25"/>
      <c r="M35" s="28"/>
      <c r="N35" s="28"/>
      <c r="O35" s="25"/>
    </row>
    <row r="36" spans="2:15" ht="14.25" customHeight="1">
      <c r="B36" s="53"/>
      <c r="C36" s="62"/>
      <c r="D36" s="63"/>
      <c r="E36" s="28"/>
      <c r="F36" s="28"/>
      <c r="G36" s="28"/>
      <c r="H36" s="28"/>
      <c r="I36" s="25"/>
      <c r="J36" s="25"/>
      <c r="K36" s="25"/>
      <c r="L36" s="25"/>
      <c r="M36" s="28"/>
      <c r="N36" s="28"/>
      <c r="O36" s="25"/>
    </row>
    <row r="37" spans="2:15" ht="14.25" customHeight="1">
      <c r="B37" s="53"/>
      <c r="C37" s="62"/>
      <c r="D37" s="63"/>
      <c r="E37" s="28"/>
      <c r="F37" s="28"/>
      <c r="G37" s="28"/>
      <c r="H37" s="28"/>
      <c r="I37" s="25"/>
      <c r="J37" s="25"/>
      <c r="K37" s="25"/>
      <c r="L37" s="25"/>
      <c r="M37" s="28"/>
      <c r="N37" s="28"/>
      <c r="O37" s="25"/>
    </row>
    <row r="38" spans="2:15" ht="14.25" customHeight="1">
      <c r="B38" s="53"/>
      <c r="C38" s="62"/>
      <c r="D38" s="63"/>
      <c r="E38" s="28"/>
      <c r="F38" s="28"/>
      <c r="G38" s="28"/>
      <c r="H38" s="28"/>
      <c r="I38" s="25"/>
      <c r="J38" s="25"/>
      <c r="K38" s="25"/>
      <c r="L38" s="25"/>
      <c r="M38" s="28"/>
      <c r="N38" s="28"/>
      <c r="O38" s="25"/>
    </row>
    <row r="39" spans="2:15" ht="14.25" customHeight="1">
      <c r="B39" s="53"/>
      <c r="C39" s="62"/>
      <c r="D39" s="63"/>
      <c r="E39" s="28"/>
      <c r="F39" s="28"/>
      <c r="G39" s="28"/>
      <c r="H39" s="28"/>
      <c r="I39" s="25"/>
      <c r="J39" s="25"/>
      <c r="K39" s="25"/>
      <c r="L39" s="25"/>
      <c r="M39" s="28"/>
      <c r="N39" s="28"/>
      <c r="O39" s="25"/>
    </row>
    <row r="40" spans="2:15" ht="14.25" customHeight="1">
      <c r="B40" s="53"/>
      <c r="C40" s="62"/>
      <c r="D40" s="63"/>
      <c r="E40" s="28"/>
      <c r="F40" s="28"/>
      <c r="G40" s="28"/>
      <c r="H40" s="28"/>
      <c r="I40" s="25"/>
      <c r="J40" s="25"/>
      <c r="K40" s="25"/>
      <c r="L40" s="25"/>
      <c r="M40" s="28"/>
      <c r="N40" s="28"/>
      <c r="O40" s="25"/>
    </row>
    <row r="41" spans="2:15" ht="14.25" customHeight="1">
      <c r="B41" s="53"/>
      <c r="C41" s="62"/>
      <c r="D41" s="63"/>
      <c r="E41" s="28"/>
      <c r="F41" s="28"/>
      <c r="G41" s="28"/>
      <c r="H41" s="28"/>
      <c r="I41" s="25"/>
      <c r="J41" s="25"/>
      <c r="K41" s="25"/>
      <c r="L41" s="25"/>
      <c r="M41" s="28"/>
      <c r="N41" s="28"/>
      <c r="O41" s="25"/>
    </row>
    <row r="42" spans="2:15" ht="14.25" customHeight="1">
      <c r="B42" s="53"/>
      <c r="C42" s="62"/>
      <c r="D42" s="63"/>
      <c r="E42" s="28"/>
      <c r="F42" s="28"/>
      <c r="G42" s="28"/>
      <c r="H42" s="28"/>
      <c r="I42" s="25"/>
      <c r="J42" s="25"/>
      <c r="K42" s="25"/>
      <c r="L42" s="25"/>
      <c r="M42" s="28"/>
      <c r="N42" s="28"/>
      <c r="O42" s="25"/>
    </row>
    <row r="43" spans="2:15" ht="14.25" customHeight="1">
      <c r="B43" s="53"/>
      <c r="C43" s="62"/>
      <c r="D43" s="63"/>
      <c r="E43" s="28"/>
      <c r="F43" s="28"/>
      <c r="G43" s="28"/>
      <c r="H43" s="28"/>
      <c r="I43" s="25"/>
      <c r="J43" s="25"/>
      <c r="K43" s="25"/>
      <c r="L43" s="25"/>
      <c r="M43" s="28"/>
      <c r="N43" s="28"/>
      <c r="O43" s="25"/>
    </row>
    <row r="44" spans="2:15" ht="14.25" customHeight="1">
      <c r="B44" s="53"/>
      <c r="C44" s="62"/>
      <c r="D44" s="63"/>
      <c r="E44" s="28"/>
      <c r="F44" s="28"/>
      <c r="G44" s="28"/>
      <c r="H44" s="28"/>
      <c r="I44" s="25"/>
      <c r="J44" s="25"/>
      <c r="K44" s="25"/>
      <c r="L44" s="25"/>
      <c r="M44" s="28"/>
      <c r="N44" s="28"/>
      <c r="O44" s="25"/>
    </row>
    <row r="45" spans="2:15" ht="14.25" customHeight="1">
      <c r="B45" s="53"/>
      <c r="C45" s="62"/>
      <c r="D45" s="63"/>
      <c r="E45" s="28"/>
      <c r="F45" s="28"/>
      <c r="G45" s="28"/>
      <c r="H45" s="28"/>
      <c r="I45" s="25"/>
      <c r="J45" s="25"/>
      <c r="K45" s="25"/>
      <c r="L45" s="25"/>
      <c r="M45" s="28"/>
      <c r="N45" s="28"/>
      <c r="O45" s="25"/>
    </row>
    <row r="46" spans="2:15" ht="14.25" customHeight="1">
      <c r="B46" s="53"/>
      <c r="C46" s="62"/>
      <c r="D46" s="63"/>
      <c r="E46" s="28"/>
      <c r="F46" s="28"/>
      <c r="G46" s="28"/>
      <c r="H46" s="28"/>
      <c r="I46" s="25"/>
      <c r="J46" s="25"/>
      <c r="K46" s="25"/>
      <c r="L46" s="25"/>
      <c r="M46" s="28"/>
      <c r="N46" s="28"/>
      <c r="O46" s="25"/>
    </row>
    <row r="47" spans="2:15" ht="14.25" customHeight="1">
      <c r="B47" s="53"/>
      <c r="C47" s="62"/>
      <c r="D47" s="63"/>
      <c r="E47" s="28"/>
      <c r="F47" s="28"/>
      <c r="G47" s="28"/>
      <c r="H47" s="28"/>
      <c r="I47" s="25"/>
      <c r="J47" s="25"/>
      <c r="K47" s="25"/>
      <c r="L47" s="25"/>
      <c r="M47" s="28"/>
      <c r="N47" s="28"/>
      <c r="O47" s="25"/>
    </row>
    <row r="48" spans="2:15" ht="14.25" customHeight="1">
      <c r="B48" s="53"/>
      <c r="C48" s="62"/>
      <c r="D48" s="63"/>
      <c r="E48" s="28"/>
      <c r="F48" s="28"/>
      <c r="G48" s="28"/>
      <c r="H48" s="28"/>
      <c r="I48" s="25"/>
      <c r="J48" s="25"/>
      <c r="K48" s="25"/>
      <c r="L48" s="25"/>
      <c r="M48" s="28"/>
      <c r="N48" s="28"/>
      <c r="O48" s="25"/>
    </row>
    <row r="49" spans="2:15" ht="14.25" customHeight="1">
      <c r="B49" s="53"/>
      <c r="C49" s="62"/>
      <c r="D49" s="63"/>
      <c r="E49" s="28"/>
      <c r="F49" s="28"/>
      <c r="G49" s="28"/>
      <c r="H49" s="28"/>
      <c r="I49" s="25"/>
      <c r="J49" s="25"/>
      <c r="K49" s="25"/>
      <c r="L49" s="25"/>
      <c r="M49" s="28"/>
      <c r="N49" s="28"/>
      <c r="O49" s="25"/>
    </row>
    <row r="50" spans="2:15" ht="14.25" customHeight="1">
      <c r="B50" s="53"/>
      <c r="C50" s="62"/>
      <c r="D50" s="63"/>
      <c r="E50" s="28"/>
      <c r="F50" s="28"/>
      <c r="G50" s="28"/>
      <c r="H50" s="28"/>
      <c r="I50" s="25"/>
      <c r="J50" s="25"/>
      <c r="K50" s="25"/>
      <c r="L50" s="25"/>
      <c r="M50" s="28"/>
      <c r="N50" s="28"/>
      <c r="O50" s="25"/>
    </row>
    <row r="51" spans="2:15" ht="14.25" hidden="1" customHeight="1" outlineLevel="1">
      <c r="B51" s="53"/>
      <c r="C51" s="62"/>
      <c r="D51" s="63"/>
      <c r="E51" s="28"/>
      <c r="F51" s="28"/>
      <c r="G51" s="28"/>
      <c r="H51" s="28"/>
      <c r="I51" s="25"/>
      <c r="J51" s="25"/>
      <c r="K51" s="25"/>
      <c r="L51" s="25"/>
      <c r="M51" s="28"/>
      <c r="N51" s="28"/>
    </row>
    <row r="52" spans="2:15" ht="14.25" hidden="1" customHeight="1" outlineLevel="1">
      <c r="B52" s="53"/>
      <c r="C52" s="62"/>
      <c r="D52" s="63"/>
      <c r="E52" s="28"/>
      <c r="F52" s="28"/>
      <c r="G52" s="28"/>
      <c r="H52" s="28"/>
      <c r="I52" s="25"/>
      <c r="J52" s="25"/>
      <c r="K52" s="25"/>
      <c r="L52" s="25"/>
      <c r="M52" s="28"/>
      <c r="N52" s="28"/>
    </row>
    <row r="53" spans="2:15" ht="14.25" hidden="1" customHeight="1" outlineLevel="1">
      <c r="B53" s="53"/>
      <c r="C53" s="62"/>
      <c r="D53" s="63"/>
      <c r="E53" s="28"/>
      <c r="F53" s="28"/>
      <c r="G53" s="28"/>
      <c r="H53" s="28"/>
      <c r="I53" s="25"/>
      <c r="J53" s="25"/>
      <c r="K53" s="25"/>
      <c r="L53" s="25"/>
      <c r="M53" s="28"/>
      <c r="N53" s="28"/>
    </row>
    <row r="54" spans="2:15" ht="14.25" hidden="1" customHeight="1" outlineLevel="1">
      <c r="B54" s="53"/>
      <c r="C54" s="62"/>
      <c r="D54" s="63"/>
      <c r="E54" s="28"/>
      <c r="F54" s="28"/>
      <c r="G54" s="28"/>
      <c r="H54" s="28"/>
      <c r="I54" s="25"/>
      <c r="J54" s="25"/>
      <c r="K54" s="25"/>
      <c r="L54" s="25"/>
      <c r="M54" s="28"/>
      <c r="N54" s="28"/>
    </row>
    <row r="55" spans="2:15" ht="14.25" hidden="1" customHeight="1" outlineLevel="1">
      <c r="B55" s="53"/>
      <c r="C55" s="62"/>
      <c r="D55" s="63"/>
      <c r="E55" s="28"/>
      <c r="F55" s="28"/>
      <c r="G55" s="28"/>
      <c r="H55" s="28"/>
      <c r="I55" s="25"/>
      <c r="J55" s="25"/>
      <c r="K55" s="25"/>
      <c r="L55" s="25"/>
      <c r="M55" s="28"/>
      <c r="N55" s="28"/>
    </row>
    <row r="56" spans="2:15" ht="14.25" hidden="1" customHeight="1" outlineLevel="1">
      <c r="B56" s="53"/>
      <c r="C56" s="62"/>
      <c r="D56" s="63"/>
      <c r="E56" s="28"/>
      <c r="F56" s="28"/>
      <c r="G56" s="28"/>
      <c r="H56" s="28"/>
      <c r="I56" s="25"/>
      <c r="J56" s="25"/>
      <c r="K56" s="25"/>
      <c r="L56" s="25"/>
      <c r="M56" s="28"/>
      <c r="N56" s="28"/>
    </row>
    <row r="57" spans="2:15" ht="14.25" hidden="1" customHeight="1" outlineLevel="1">
      <c r="B57" s="53"/>
      <c r="C57" s="62"/>
      <c r="D57" s="63"/>
      <c r="E57" s="28"/>
      <c r="F57" s="28"/>
      <c r="G57" s="28"/>
      <c r="H57" s="28"/>
      <c r="I57" s="25"/>
      <c r="J57" s="25"/>
      <c r="K57" s="25"/>
      <c r="L57" s="25"/>
      <c r="M57" s="28"/>
      <c r="N57" s="28"/>
    </row>
    <row r="58" spans="2:15" ht="14.25" hidden="1" customHeight="1" outlineLevel="1">
      <c r="B58" s="53"/>
      <c r="C58" s="62"/>
      <c r="D58" s="63"/>
      <c r="E58" s="28"/>
      <c r="F58" s="28"/>
      <c r="G58" s="28"/>
      <c r="H58" s="28"/>
      <c r="I58" s="25"/>
      <c r="J58" s="25"/>
      <c r="K58" s="25"/>
      <c r="L58" s="25"/>
      <c r="M58" s="28"/>
      <c r="N58" s="28"/>
    </row>
    <row r="59" spans="2:15" ht="14.25" hidden="1" customHeight="1" outlineLevel="1">
      <c r="B59" s="53"/>
      <c r="C59" s="62"/>
      <c r="D59" s="63"/>
      <c r="E59" s="28"/>
      <c r="F59" s="28"/>
      <c r="G59" s="28"/>
      <c r="H59" s="28"/>
      <c r="I59" s="25"/>
      <c r="J59" s="25"/>
      <c r="K59" s="25"/>
      <c r="L59" s="25"/>
      <c r="M59" s="28"/>
      <c r="N59" s="28"/>
    </row>
    <row r="60" spans="2:15" ht="14.25" hidden="1" customHeight="1" outlineLevel="1">
      <c r="B60" s="53"/>
      <c r="C60" s="62"/>
      <c r="D60" s="63"/>
      <c r="E60" s="28"/>
      <c r="F60" s="28"/>
      <c r="G60" s="28"/>
      <c r="H60" s="28"/>
      <c r="I60" s="25"/>
      <c r="J60" s="25"/>
      <c r="K60" s="25"/>
      <c r="L60" s="25"/>
      <c r="M60" s="28"/>
      <c r="N60" s="28"/>
    </row>
    <row r="61" spans="2:15" ht="14.25" hidden="1" customHeight="1" outlineLevel="1">
      <c r="B61" s="53"/>
      <c r="C61" s="62"/>
      <c r="D61" s="63"/>
      <c r="E61" s="28"/>
      <c r="F61" s="28"/>
      <c r="G61" s="28"/>
      <c r="H61" s="28"/>
      <c r="I61" s="25"/>
      <c r="J61" s="25"/>
      <c r="K61" s="25"/>
      <c r="L61" s="25"/>
      <c r="M61" s="28"/>
      <c r="N61" s="28"/>
    </row>
    <row r="62" spans="2:15" ht="14.25" hidden="1" customHeight="1" outlineLevel="1">
      <c r="B62" s="53"/>
      <c r="C62" s="62"/>
      <c r="D62" s="63"/>
      <c r="E62" s="28"/>
      <c r="F62" s="28"/>
      <c r="G62" s="28"/>
      <c r="H62" s="28"/>
      <c r="I62" s="25"/>
      <c r="J62" s="25"/>
      <c r="K62" s="25"/>
      <c r="L62" s="25"/>
      <c r="M62" s="28"/>
      <c r="N62" s="28"/>
    </row>
    <row r="63" spans="2:15" ht="14.25" hidden="1" customHeight="1" outlineLevel="1">
      <c r="B63" s="53"/>
      <c r="C63" s="62"/>
      <c r="D63" s="63"/>
      <c r="E63" s="28"/>
      <c r="F63" s="28"/>
      <c r="G63" s="28"/>
      <c r="H63" s="28"/>
      <c r="I63" s="25"/>
      <c r="J63" s="25"/>
      <c r="K63" s="25"/>
      <c r="L63" s="25"/>
      <c r="M63" s="28"/>
      <c r="N63" s="28"/>
    </row>
    <row r="64" spans="2:15" ht="14.25" hidden="1" customHeight="1" outlineLevel="1">
      <c r="B64" s="53"/>
      <c r="C64" s="62"/>
      <c r="D64" s="63"/>
      <c r="E64" s="28"/>
      <c r="F64" s="28"/>
      <c r="G64" s="28"/>
      <c r="H64" s="28"/>
      <c r="I64" s="25"/>
      <c r="J64" s="25"/>
      <c r="K64" s="25"/>
      <c r="L64" s="25"/>
      <c r="M64" s="28"/>
      <c r="N64" s="28"/>
    </row>
    <row r="65" spans="2:14" ht="14.25" hidden="1" customHeight="1" outlineLevel="1">
      <c r="B65" s="53"/>
      <c r="C65" s="62"/>
      <c r="D65" s="63"/>
      <c r="E65" s="28"/>
      <c r="F65" s="28"/>
      <c r="G65" s="28"/>
      <c r="H65" s="28"/>
      <c r="I65" s="25"/>
      <c r="J65" s="25"/>
      <c r="K65" s="25"/>
      <c r="L65" s="25"/>
      <c r="M65" s="28"/>
      <c r="N65" s="28"/>
    </row>
    <row r="66" spans="2:14" ht="14.25" hidden="1" customHeight="1" outlineLevel="1">
      <c r="B66" s="53"/>
      <c r="C66" s="62"/>
      <c r="D66" s="63"/>
      <c r="E66" s="28"/>
      <c r="F66" s="28"/>
      <c r="G66" s="28"/>
      <c r="H66" s="28"/>
      <c r="I66" s="25"/>
      <c r="J66" s="25"/>
      <c r="K66" s="25"/>
      <c r="L66" s="25"/>
      <c r="M66" s="28"/>
      <c r="N66" s="28"/>
    </row>
    <row r="67" spans="2:14" ht="14.25" hidden="1" customHeight="1" outlineLevel="1">
      <c r="B67" s="53"/>
      <c r="C67" s="62"/>
      <c r="D67" s="63"/>
      <c r="E67" s="28"/>
      <c r="F67" s="28"/>
      <c r="G67" s="28"/>
      <c r="H67" s="28"/>
      <c r="I67" s="25"/>
      <c r="J67" s="25"/>
      <c r="K67" s="25"/>
      <c r="L67" s="25"/>
      <c r="M67" s="28"/>
      <c r="N67" s="28"/>
    </row>
    <row r="68" spans="2:14" ht="14.25" hidden="1" customHeight="1" outlineLevel="1">
      <c r="B68" s="53"/>
      <c r="C68" s="62"/>
      <c r="D68" s="63"/>
      <c r="E68" s="28"/>
      <c r="F68" s="28"/>
      <c r="G68" s="28"/>
      <c r="H68" s="28"/>
      <c r="I68" s="25"/>
      <c r="J68" s="25"/>
      <c r="K68" s="25"/>
      <c r="L68" s="25"/>
      <c r="M68" s="28"/>
      <c r="N68" s="28"/>
    </row>
    <row r="69" spans="2:14" ht="14.25" hidden="1" customHeight="1" outlineLevel="1">
      <c r="B69" s="53"/>
      <c r="C69" s="62"/>
      <c r="D69" s="63"/>
      <c r="E69" s="28"/>
      <c r="F69" s="28"/>
      <c r="G69" s="28"/>
      <c r="H69" s="28"/>
      <c r="I69" s="25"/>
      <c r="J69" s="25"/>
      <c r="K69" s="25"/>
      <c r="L69" s="25"/>
      <c r="M69" s="28"/>
      <c r="N69" s="28"/>
    </row>
    <row r="70" spans="2:14" ht="14.25" hidden="1" customHeight="1" outlineLevel="1">
      <c r="B70" s="53"/>
      <c r="C70" s="62"/>
      <c r="D70" s="63"/>
      <c r="E70" s="28"/>
      <c r="F70" s="28"/>
      <c r="G70" s="28"/>
      <c r="H70" s="28"/>
      <c r="I70" s="25"/>
      <c r="J70" s="25"/>
      <c r="K70" s="25"/>
      <c r="L70" s="25"/>
      <c r="M70" s="28"/>
      <c r="N70" s="28"/>
    </row>
    <row r="71" spans="2:14" ht="14.25" hidden="1" customHeight="1" outlineLevel="1">
      <c r="B71" s="53"/>
      <c r="C71" s="62"/>
      <c r="D71" s="63"/>
      <c r="E71" s="28"/>
      <c r="F71" s="28"/>
      <c r="G71" s="28"/>
      <c r="H71" s="28"/>
      <c r="I71" s="25"/>
      <c r="J71" s="25"/>
      <c r="K71" s="25"/>
      <c r="L71" s="25"/>
      <c r="M71" s="28"/>
      <c r="N71" s="28"/>
    </row>
    <row r="72" spans="2:14" ht="14.25" hidden="1" customHeight="1" outlineLevel="1">
      <c r="B72" s="53"/>
      <c r="C72" s="62"/>
      <c r="D72" s="63"/>
      <c r="E72" s="28"/>
      <c r="F72" s="28"/>
      <c r="G72" s="28"/>
      <c r="H72" s="28"/>
      <c r="I72" s="25"/>
      <c r="J72" s="25"/>
      <c r="K72" s="25"/>
      <c r="L72" s="25"/>
      <c r="M72" s="28"/>
      <c r="N72" s="28"/>
    </row>
    <row r="73" spans="2:14" ht="14.25" hidden="1" customHeight="1" outlineLevel="1">
      <c r="B73" s="53"/>
      <c r="C73" s="62"/>
      <c r="D73" s="63"/>
      <c r="E73" s="28"/>
      <c r="F73" s="28"/>
      <c r="G73" s="28"/>
      <c r="H73" s="28"/>
      <c r="I73" s="25"/>
      <c r="J73" s="25"/>
      <c r="K73" s="25"/>
      <c r="L73" s="25"/>
      <c r="M73" s="28"/>
      <c r="N73" s="28"/>
    </row>
    <row r="74" spans="2:14" ht="14.25" hidden="1" customHeight="1" outlineLevel="1">
      <c r="B74" s="53"/>
      <c r="C74" s="62"/>
      <c r="D74" s="63"/>
      <c r="E74" s="28"/>
      <c r="F74" s="28"/>
      <c r="G74" s="28"/>
      <c r="H74" s="28"/>
      <c r="I74" s="25"/>
      <c r="J74" s="25"/>
      <c r="K74" s="25"/>
      <c r="L74" s="25"/>
      <c r="M74" s="28"/>
      <c r="N74" s="28"/>
    </row>
    <row r="75" spans="2:14" ht="14.25" hidden="1" customHeight="1" outlineLevel="1">
      <c r="B75" s="53"/>
      <c r="C75" s="62"/>
      <c r="D75" s="63"/>
      <c r="E75" s="28"/>
      <c r="F75" s="28"/>
      <c r="G75" s="28"/>
      <c r="H75" s="28"/>
      <c r="I75" s="25"/>
      <c r="J75" s="25"/>
      <c r="K75" s="25"/>
      <c r="L75" s="25"/>
      <c r="M75" s="28"/>
      <c r="N75" s="28"/>
    </row>
    <row r="76" spans="2:14" ht="14.25" hidden="1" customHeight="1" outlineLevel="1">
      <c r="B76" s="53"/>
      <c r="C76" s="62"/>
      <c r="D76" s="63"/>
      <c r="E76" s="28"/>
      <c r="F76" s="28"/>
      <c r="G76" s="28"/>
      <c r="H76" s="28"/>
      <c r="I76" s="25"/>
      <c r="J76" s="25"/>
      <c r="K76" s="25"/>
      <c r="L76" s="25"/>
      <c r="M76" s="28"/>
      <c r="N76" s="28"/>
    </row>
    <row r="77" spans="2:14" ht="14.25" hidden="1" customHeight="1" outlineLevel="1">
      <c r="B77" s="53"/>
      <c r="C77" s="62"/>
      <c r="D77" s="63"/>
      <c r="E77" s="28"/>
      <c r="F77" s="28"/>
      <c r="G77" s="28"/>
      <c r="H77" s="28"/>
      <c r="I77" s="25"/>
      <c r="J77" s="25"/>
      <c r="K77" s="25"/>
      <c r="L77" s="25"/>
      <c r="M77" s="28"/>
      <c r="N77" s="28"/>
    </row>
    <row r="78" spans="2:14" ht="14.25" hidden="1" customHeight="1" outlineLevel="1">
      <c r="B78" s="53"/>
      <c r="C78" s="62"/>
      <c r="D78" s="63"/>
      <c r="E78" s="28"/>
      <c r="F78" s="28"/>
      <c r="G78" s="28"/>
      <c r="H78" s="28"/>
      <c r="I78" s="25"/>
      <c r="J78" s="25"/>
      <c r="K78" s="25"/>
      <c r="L78" s="25"/>
      <c r="M78" s="28"/>
      <c r="N78" s="28"/>
    </row>
    <row r="79" spans="2:14" ht="14.25" hidden="1" customHeight="1" outlineLevel="1">
      <c r="B79" s="53"/>
      <c r="C79" s="62"/>
      <c r="D79" s="63"/>
      <c r="E79" s="28"/>
      <c r="F79" s="28"/>
      <c r="G79" s="28"/>
      <c r="H79" s="28"/>
      <c r="I79" s="25"/>
      <c r="J79" s="25"/>
      <c r="K79" s="25"/>
      <c r="L79" s="25"/>
      <c r="M79" s="28"/>
      <c r="N79" s="28"/>
    </row>
    <row r="80" spans="2:14" ht="14.25" hidden="1" customHeight="1" outlineLevel="1">
      <c r="B80" s="53"/>
      <c r="C80" s="62"/>
      <c r="D80" s="63"/>
      <c r="E80" s="28"/>
      <c r="F80" s="28"/>
      <c r="G80" s="28"/>
      <c r="H80" s="28"/>
      <c r="I80" s="25"/>
      <c r="J80" s="25"/>
      <c r="K80" s="25"/>
      <c r="L80" s="25"/>
      <c r="M80" s="28"/>
      <c r="N80" s="28"/>
    </row>
    <row r="81" spans="2:14" ht="14.25" hidden="1" customHeight="1" outlineLevel="1">
      <c r="B81" s="53"/>
      <c r="C81" s="62"/>
      <c r="D81" s="63"/>
      <c r="E81" s="28"/>
      <c r="F81" s="28"/>
      <c r="G81" s="28"/>
      <c r="H81" s="28"/>
      <c r="I81" s="25"/>
      <c r="J81" s="25"/>
      <c r="K81" s="25"/>
      <c r="L81" s="25"/>
      <c r="M81" s="28"/>
      <c r="N81" s="28"/>
    </row>
    <row r="82" spans="2:14" ht="14.25" hidden="1" customHeight="1" outlineLevel="1">
      <c r="B82" s="53"/>
      <c r="C82" s="62"/>
      <c r="D82" s="63"/>
      <c r="E82" s="28"/>
      <c r="F82" s="28"/>
      <c r="G82" s="28"/>
      <c r="H82" s="28"/>
      <c r="I82" s="25"/>
      <c r="J82" s="25"/>
      <c r="K82" s="25"/>
      <c r="L82" s="25"/>
      <c r="M82" s="28"/>
      <c r="N82" s="28"/>
    </row>
    <row r="83" spans="2:14" ht="14.25" hidden="1" customHeight="1" outlineLevel="1">
      <c r="B83" s="53"/>
      <c r="C83" s="62"/>
      <c r="D83" s="63"/>
      <c r="E83" s="28"/>
      <c r="F83" s="28"/>
      <c r="G83" s="28"/>
      <c r="H83" s="28"/>
      <c r="I83" s="25"/>
      <c r="J83" s="25"/>
      <c r="K83" s="25"/>
      <c r="L83" s="25"/>
      <c r="M83" s="28"/>
      <c r="N83" s="28"/>
    </row>
    <row r="84" spans="2:14" ht="14.25" hidden="1" customHeight="1" outlineLevel="1">
      <c r="B84" s="53"/>
      <c r="C84" s="62"/>
      <c r="D84" s="63"/>
      <c r="E84" s="28"/>
      <c r="F84" s="28"/>
      <c r="G84" s="28"/>
      <c r="H84" s="28"/>
      <c r="I84" s="25"/>
      <c r="J84" s="25"/>
      <c r="K84" s="25"/>
      <c r="L84" s="25"/>
      <c r="M84" s="28"/>
      <c r="N84" s="28"/>
    </row>
    <row r="85" spans="2:14" ht="14.25" hidden="1" customHeight="1" outlineLevel="1">
      <c r="B85" s="53"/>
      <c r="C85" s="62"/>
      <c r="D85" s="63"/>
      <c r="E85" s="28"/>
      <c r="F85" s="28"/>
      <c r="G85" s="28"/>
      <c r="H85" s="28"/>
      <c r="I85" s="25"/>
      <c r="J85" s="25"/>
      <c r="K85" s="25"/>
      <c r="L85" s="25"/>
      <c r="M85" s="28"/>
      <c r="N85" s="28"/>
    </row>
    <row r="86" spans="2:14" ht="14.25" hidden="1" customHeight="1" outlineLevel="1">
      <c r="B86" s="53"/>
      <c r="C86" s="62"/>
      <c r="D86" s="63"/>
      <c r="E86" s="28"/>
      <c r="F86" s="28"/>
      <c r="G86" s="28"/>
      <c r="H86" s="28"/>
      <c r="I86" s="25"/>
      <c r="J86" s="25"/>
      <c r="K86" s="25"/>
      <c r="L86" s="25"/>
      <c r="M86" s="28"/>
      <c r="N86" s="28"/>
    </row>
    <row r="87" spans="2:14" ht="14.25" hidden="1" customHeight="1" outlineLevel="1">
      <c r="B87" s="53"/>
      <c r="C87" s="62"/>
      <c r="D87" s="63"/>
      <c r="E87" s="28"/>
      <c r="F87" s="28"/>
      <c r="G87" s="28"/>
      <c r="H87" s="28"/>
      <c r="I87" s="25"/>
      <c r="J87" s="25"/>
      <c r="K87" s="25"/>
      <c r="L87" s="25"/>
      <c r="M87" s="28"/>
      <c r="N87" s="28"/>
    </row>
    <row r="88" spans="2:14" ht="14.25" hidden="1" customHeight="1" outlineLevel="1">
      <c r="B88" s="53"/>
      <c r="C88" s="62"/>
      <c r="D88" s="63"/>
      <c r="E88" s="28"/>
      <c r="F88" s="28"/>
      <c r="G88" s="28"/>
      <c r="H88" s="28"/>
      <c r="I88" s="25"/>
      <c r="J88" s="25"/>
      <c r="K88" s="25"/>
      <c r="L88" s="25"/>
      <c r="M88" s="28"/>
      <c r="N88" s="28"/>
    </row>
    <row r="89" spans="2:14" ht="14.25" hidden="1" customHeight="1" outlineLevel="1">
      <c r="B89" s="53"/>
      <c r="C89" s="62"/>
      <c r="D89" s="63"/>
      <c r="E89" s="28"/>
      <c r="F89" s="28"/>
      <c r="G89" s="28"/>
      <c r="H89" s="28"/>
      <c r="I89" s="25"/>
      <c r="J89" s="25"/>
      <c r="K89" s="25"/>
      <c r="L89" s="25"/>
      <c r="M89" s="28"/>
      <c r="N89" s="28"/>
    </row>
    <row r="90" spans="2:14" ht="14.25" hidden="1" customHeight="1" outlineLevel="1">
      <c r="B90" s="53"/>
      <c r="C90" s="62"/>
      <c r="D90" s="63"/>
      <c r="E90" s="28"/>
      <c r="F90" s="28"/>
      <c r="G90" s="28"/>
      <c r="H90" s="28"/>
      <c r="I90" s="25"/>
      <c r="J90" s="25"/>
      <c r="K90" s="25"/>
      <c r="L90" s="25"/>
      <c r="M90" s="28"/>
      <c r="N90" s="28"/>
    </row>
    <row r="91" spans="2:14" ht="14.25" hidden="1" customHeight="1" outlineLevel="1">
      <c r="B91" s="53"/>
      <c r="C91" s="62"/>
      <c r="D91" s="63"/>
      <c r="E91" s="28"/>
      <c r="F91" s="28"/>
      <c r="G91" s="28"/>
      <c r="H91" s="28"/>
      <c r="I91" s="25"/>
      <c r="J91" s="25"/>
      <c r="K91" s="25"/>
      <c r="L91" s="25"/>
      <c r="M91" s="28"/>
      <c r="N91" s="28"/>
    </row>
    <row r="92" spans="2:14" ht="14.25" hidden="1" customHeight="1" outlineLevel="1">
      <c r="B92" s="53"/>
      <c r="C92" s="62"/>
      <c r="D92" s="63"/>
      <c r="E92" s="28"/>
      <c r="F92" s="28"/>
      <c r="G92" s="28"/>
      <c r="H92" s="28"/>
      <c r="I92" s="25"/>
      <c r="J92" s="25"/>
      <c r="K92" s="25"/>
      <c r="L92" s="25"/>
      <c r="M92" s="28"/>
      <c r="N92" s="28"/>
    </row>
    <row r="93" spans="2:14" ht="14.25" hidden="1" customHeight="1" outlineLevel="1">
      <c r="B93" s="53"/>
      <c r="C93" s="62"/>
      <c r="D93" s="63"/>
      <c r="E93" s="28"/>
      <c r="F93" s="28"/>
      <c r="G93" s="28"/>
      <c r="H93" s="28"/>
      <c r="I93" s="25"/>
      <c r="J93" s="25"/>
      <c r="K93" s="25"/>
      <c r="L93" s="25"/>
      <c r="M93" s="28"/>
      <c r="N93" s="28"/>
    </row>
    <row r="94" spans="2:14" ht="14.25" hidden="1" customHeight="1" outlineLevel="1">
      <c r="B94" s="53"/>
      <c r="C94" s="62"/>
      <c r="D94" s="63"/>
      <c r="E94" s="28"/>
      <c r="F94" s="28"/>
      <c r="G94" s="28"/>
      <c r="H94" s="28"/>
      <c r="I94" s="25"/>
      <c r="J94" s="25"/>
      <c r="K94" s="25"/>
      <c r="L94" s="25"/>
      <c r="M94" s="28"/>
      <c r="N94" s="28"/>
    </row>
    <row r="95" spans="2:14" ht="14.25" hidden="1" customHeight="1" outlineLevel="1">
      <c r="B95" s="53"/>
      <c r="C95" s="62"/>
      <c r="D95" s="63"/>
      <c r="E95" s="28"/>
      <c r="F95" s="28"/>
      <c r="G95" s="28"/>
      <c r="H95" s="28"/>
      <c r="I95" s="25"/>
      <c r="J95" s="25"/>
      <c r="K95" s="25"/>
      <c r="L95" s="25"/>
      <c r="M95" s="28"/>
      <c r="N95" s="28"/>
    </row>
    <row r="96" spans="2:14" ht="14.25" hidden="1" customHeight="1" outlineLevel="1">
      <c r="B96" s="53"/>
      <c r="C96" s="62"/>
      <c r="D96" s="63"/>
      <c r="E96" s="28"/>
      <c r="F96" s="28"/>
      <c r="G96" s="28"/>
      <c r="H96" s="28"/>
      <c r="I96" s="25"/>
      <c r="J96" s="25"/>
      <c r="K96" s="25"/>
      <c r="L96" s="25"/>
      <c r="M96" s="28"/>
      <c r="N96" s="28"/>
    </row>
    <row r="97" spans="2:14" ht="14.25" hidden="1" customHeight="1" outlineLevel="1">
      <c r="B97" s="53"/>
      <c r="C97" s="62"/>
      <c r="D97" s="63"/>
      <c r="E97" s="28"/>
      <c r="F97" s="28"/>
      <c r="G97" s="28"/>
      <c r="H97" s="28"/>
      <c r="I97" s="25"/>
      <c r="J97" s="25"/>
      <c r="K97" s="25"/>
      <c r="L97" s="25"/>
      <c r="M97" s="28"/>
      <c r="N97" s="28"/>
    </row>
    <row r="98" spans="2:14" ht="14.25" hidden="1" customHeight="1" outlineLevel="1">
      <c r="B98" s="53"/>
      <c r="C98" s="62"/>
      <c r="D98" s="63"/>
      <c r="E98" s="28"/>
      <c r="F98" s="28"/>
      <c r="G98" s="28"/>
      <c r="H98" s="28"/>
      <c r="I98" s="25"/>
      <c r="J98" s="25"/>
      <c r="K98" s="25"/>
      <c r="L98" s="25"/>
      <c r="M98" s="28"/>
      <c r="N98" s="28"/>
    </row>
    <row r="99" spans="2:14" ht="14.25" hidden="1" customHeight="1" outlineLevel="1">
      <c r="B99" s="53"/>
      <c r="C99" s="62"/>
      <c r="D99" s="63"/>
      <c r="E99" s="28"/>
      <c r="F99" s="28"/>
      <c r="G99" s="28"/>
      <c r="H99" s="28"/>
      <c r="I99" s="25"/>
      <c r="J99" s="25"/>
      <c r="K99" s="25"/>
      <c r="L99" s="25"/>
      <c r="M99" s="28"/>
      <c r="N99" s="28"/>
    </row>
    <row r="100" spans="2:14" ht="14.25" hidden="1" customHeight="1" outlineLevel="1">
      <c r="B100" s="53"/>
      <c r="C100" s="62"/>
      <c r="D100" s="63"/>
      <c r="E100" s="28"/>
      <c r="F100" s="28"/>
      <c r="G100" s="28"/>
      <c r="H100" s="28"/>
      <c r="I100" s="25"/>
      <c r="J100" s="25"/>
      <c r="K100" s="25"/>
      <c r="L100" s="25"/>
      <c r="M100" s="28"/>
      <c r="N100" s="28"/>
    </row>
    <row r="101" spans="2:14" ht="14.25" customHeight="1" collapsed="1">
      <c r="B101" s="4"/>
      <c r="C101" s="50"/>
    </row>
    <row r="102" spans="2:14" ht="14.25" customHeight="1">
      <c r="B102" s="58" t="s">
        <v>36</v>
      </c>
      <c r="C102" s="57"/>
      <c r="D102" s="57"/>
      <c r="E102" s="57"/>
      <c r="F102" s="57"/>
      <c r="G102" s="57"/>
    </row>
    <row r="103" spans="2:14" ht="9" customHeight="1">
      <c r="B103" s="4"/>
      <c r="C103" s="50"/>
    </row>
    <row r="104" spans="2:14" ht="34.15" customHeight="1">
      <c r="B104" s="83" t="s">
        <v>467</v>
      </c>
      <c r="C104" s="82" t="s">
        <v>53</v>
      </c>
      <c r="D104" s="82" t="s">
        <v>175</v>
      </c>
      <c r="E104" s="82" t="s">
        <v>70</v>
      </c>
      <c r="F104" s="83" t="s">
        <v>466</v>
      </c>
      <c r="G104" s="82" t="s">
        <v>473</v>
      </c>
      <c r="H104" s="83" t="s">
        <v>474</v>
      </c>
      <c r="I104" s="83" t="s">
        <v>475</v>
      </c>
    </row>
    <row r="105" spans="2:14" ht="14.25" customHeight="1">
      <c r="B105" s="53" t="str" cm="1">
        <f t="array" ref="B105">_xlfn._xlws.FILTER(Incidencias!F4:M39,Incidencias!F4:F39=C6,"")</f>
        <v/>
      </c>
      <c r="C105" s="66"/>
      <c r="D105" s="67"/>
      <c r="E105" s="64"/>
      <c r="F105" s="28"/>
      <c r="G105" s="63"/>
      <c r="H105" s="63"/>
      <c r="I105" s="25"/>
      <c r="J105" s="65"/>
    </row>
    <row r="106" spans="2:14" ht="14.25" customHeight="1">
      <c r="B106" s="53"/>
      <c r="C106" s="66"/>
      <c r="D106" s="67"/>
      <c r="E106" s="64"/>
      <c r="F106" s="28"/>
      <c r="G106" s="63"/>
      <c r="H106" s="63"/>
      <c r="I106" s="25"/>
      <c r="J106" s="65"/>
    </row>
    <row r="107" spans="2:14" ht="14.25" customHeight="1">
      <c r="B107" s="53"/>
      <c r="C107" s="66"/>
      <c r="D107" s="67"/>
      <c r="E107" s="64"/>
      <c r="F107" s="28"/>
      <c r="G107" s="63"/>
      <c r="H107" s="63"/>
      <c r="I107" s="25"/>
      <c r="J107" s="65"/>
    </row>
    <row r="108" spans="2:14" ht="14.25" customHeight="1">
      <c r="B108" s="53"/>
      <c r="C108" s="66"/>
      <c r="D108" s="67"/>
      <c r="E108" s="64"/>
      <c r="F108" s="28"/>
      <c r="G108" s="63"/>
      <c r="H108" s="63"/>
      <c r="I108" s="25"/>
      <c r="J108" s="65"/>
    </row>
    <row r="109" spans="2:14" ht="14.25" customHeight="1">
      <c r="B109" s="53"/>
      <c r="C109" s="66"/>
      <c r="D109" s="67"/>
      <c r="E109" s="64"/>
      <c r="F109" s="28"/>
      <c r="G109" s="63"/>
      <c r="H109" s="63"/>
      <c r="I109" s="25"/>
      <c r="J109" s="65"/>
    </row>
    <row r="110" spans="2:14" ht="14.25" customHeight="1">
      <c r="B110" s="53"/>
      <c r="C110" s="66"/>
      <c r="D110" s="67"/>
      <c r="E110" s="64"/>
      <c r="F110" s="28"/>
      <c r="G110" s="63"/>
      <c r="H110" s="63"/>
      <c r="I110" s="25"/>
      <c r="J110" s="65"/>
    </row>
    <row r="111" spans="2:14" ht="14.25" customHeight="1">
      <c r="B111" s="53"/>
      <c r="C111" s="66"/>
      <c r="D111" s="67"/>
      <c r="E111" s="64"/>
      <c r="F111" s="28"/>
      <c r="G111" s="63"/>
      <c r="H111" s="63"/>
      <c r="I111" s="25"/>
      <c r="J111" s="65"/>
    </row>
    <row r="112" spans="2:14" ht="14.25" customHeight="1">
      <c r="B112" s="53"/>
      <c r="C112" s="66"/>
      <c r="D112" s="67"/>
      <c r="E112" s="64"/>
      <c r="F112" s="28"/>
      <c r="G112" s="63"/>
      <c r="H112" s="63"/>
      <c r="I112" s="25"/>
      <c r="J112" s="65"/>
    </row>
    <row r="113" spans="2:10" ht="14.25" customHeight="1">
      <c r="B113" s="53"/>
      <c r="C113" s="66"/>
      <c r="D113" s="67"/>
      <c r="E113" s="64"/>
      <c r="F113" s="28"/>
      <c r="G113" s="63"/>
      <c r="H113" s="63"/>
      <c r="I113" s="25"/>
      <c r="J113" s="65"/>
    </row>
    <row r="114" spans="2:10" ht="14.25" customHeight="1">
      <c r="B114" s="53"/>
      <c r="C114" s="66"/>
      <c r="D114" s="67"/>
      <c r="E114" s="64"/>
      <c r="F114" s="28"/>
      <c r="G114" s="63"/>
      <c r="H114" s="63"/>
      <c r="I114" s="25"/>
      <c r="J114" s="65"/>
    </row>
    <row r="115" spans="2:10" ht="14.25" customHeight="1">
      <c r="B115" s="4"/>
      <c r="C115" s="50"/>
    </row>
    <row r="116" spans="2:10" ht="14.25" customHeight="1">
      <c r="B116" s="4"/>
      <c r="C116" s="50"/>
    </row>
    <row r="117" spans="2:10" ht="14.25" customHeight="1">
      <c r="B117" s="58" t="s">
        <v>484</v>
      </c>
      <c r="C117" s="57"/>
      <c r="D117" s="57"/>
      <c r="E117" s="57"/>
      <c r="F117" s="57"/>
      <c r="G117" s="57"/>
    </row>
    <row r="118" spans="2:10" ht="4.1500000000000004" customHeight="1">
      <c r="B118" s="4"/>
      <c r="C118" s="50"/>
    </row>
    <row r="119" spans="2:10" ht="37.9" customHeight="1">
      <c r="B119" s="83" t="s">
        <v>29</v>
      </c>
      <c r="C119" s="83" t="s">
        <v>39</v>
      </c>
      <c r="D119" s="83" t="s">
        <v>466</v>
      </c>
      <c r="E119" s="82" t="s">
        <v>492</v>
      </c>
      <c r="F119" s="82" t="s">
        <v>493</v>
      </c>
      <c r="G119" s="83" t="s">
        <v>468</v>
      </c>
      <c r="H119" s="83" t="s">
        <v>469</v>
      </c>
    </row>
    <row r="120" spans="2:10" ht="14.25" customHeight="1">
      <c r="B120" s="53" t="str" cm="1">
        <f t="array" ref="B120">_xlfn._xlws.FILTER('Eventos B2B_MKT y Turnos DT'!E6:K156,'Eventos B2B_MKT y Turnos DT'!E6:E156=C6,"")</f>
        <v/>
      </c>
      <c r="C120" s="66"/>
      <c r="D120" s="28"/>
      <c r="E120" s="28"/>
      <c r="F120" s="28"/>
      <c r="G120" s="28"/>
      <c r="H120" s="68"/>
    </row>
    <row r="121" spans="2:10" ht="14.25" customHeight="1">
      <c r="B121" s="53"/>
      <c r="C121" s="66"/>
      <c r="D121" s="28"/>
      <c r="E121" s="28"/>
      <c r="F121" s="28"/>
      <c r="G121" s="28"/>
      <c r="H121" s="68"/>
    </row>
    <row r="122" spans="2:10" ht="14.25" customHeight="1">
      <c r="B122" s="53"/>
      <c r="C122" s="66"/>
      <c r="D122" s="28"/>
      <c r="E122" s="28"/>
      <c r="F122" s="28"/>
      <c r="G122" s="28"/>
      <c r="H122" s="68"/>
    </row>
    <row r="123" spans="2:10" ht="14.25" customHeight="1">
      <c r="B123" s="53"/>
      <c r="C123" s="66"/>
      <c r="D123" s="28"/>
      <c r="E123" s="28"/>
      <c r="F123" s="28"/>
      <c r="G123" s="28"/>
      <c r="H123" s="68"/>
    </row>
    <row r="124" spans="2:10" ht="14.25" customHeight="1">
      <c r="B124" s="53"/>
      <c r="C124" s="66"/>
      <c r="D124" s="28"/>
      <c r="E124" s="28"/>
      <c r="F124" s="28"/>
      <c r="G124" s="28"/>
      <c r="H124" s="68"/>
    </row>
    <row r="125" spans="2:10" ht="14.25" customHeight="1">
      <c r="B125" s="53"/>
      <c r="C125" s="66"/>
      <c r="D125" s="28"/>
      <c r="E125" s="28"/>
      <c r="F125" s="28"/>
      <c r="G125" s="28"/>
      <c r="H125" s="68"/>
    </row>
    <row r="126" spans="2:10" ht="14.25" customHeight="1">
      <c r="B126" s="53"/>
      <c r="C126" s="66"/>
      <c r="D126" s="28"/>
      <c r="E126" s="28"/>
      <c r="F126" s="28"/>
      <c r="G126" s="28"/>
      <c r="H126" s="68"/>
    </row>
    <row r="127" spans="2:10" ht="14.25" customHeight="1">
      <c r="B127" s="53"/>
      <c r="C127" s="66"/>
      <c r="D127" s="28"/>
      <c r="E127" s="28"/>
      <c r="F127" s="28"/>
      <c r="G127" s="28"/>
      <c r="H127" s="68"/>
    </row>
    <row r="128" spans="2:10" ht="14.25" customHeight="1">
      <c r="B128" s="53"/>
      <c r="C128" s="66"/>
      <c r="D128" s="28"/>
      <c r="E128" s="28"/>
      <c r="F128" s="28"/>
      <c r="G128" s="28"/>
      <c r="H128" s="68"/>
    </row>
    <row r="129" spans="2:8" ht="14.25" customHeight="1">
      <c r="B129" s="53"/>
      <c r="C129" s="66"/>
      <c r="D129" s="28"/>
      <c r="E129" s="28"/>
      <c r="F129" s="28"/>
      <c r="G129" s="28"/>
      <c r="H129" s="68"/>
    </row>
    <row r="130" spans="2:8" ht="14.25" customHeight="1"/>
    <row r="131" spans="2:8" ht="14.25" customHeight="1"/>
    <row r="132" spans="2:8" ht="14.25" customHeight="1"/>
    <row r="133" spans="2:8" ht="14.25" customHeight="1"/>
    <row r="134" spans="2:8" ht="14.25" customHeight="1"/>
    <row r="135" spans="2:8" ht="14.25" customHeight="1"/>
    <row r="136" spans="2:8" ht="14.25" customHeight="1"/>
    <row r="137" spans="2:8" ht="14.25" customHeight="1"/>
    <row r="138" spans="2:8" ht="14.25" customHeight="1"/>
    <row r="139" spans="2:8" ht="14.25" customHeight="1"/>
    <row r="140" spans="2:8" ht="14.25" customHeight="1"/>
    <row r="141" spans="2:8" ht="14.25" customHeight="1"/>
    <row r="142" spans="2:8" ht="14.25" customHeight="1"/>
    <row r="143" spans="2:8" ht="14.25" customHeight="1"/>
    <row r="144" spans="2:8" ht="14.25" customHeight="1"/>
    <row r="145" ht="14.25" customHeight="1"/>
    <row r="146" ht="14.25" customHeight="1"/>
  </sheetData>
  <mergeCells count="2">
    <mergeCell ref="C6:D6"/>
    <mergeCell ref="C2:D2"/>
  </mergeCell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6B500050-3672-4C0F-93E6-477DAFFA596F}">
          <x14:formula1>
            <xm:f>Nómina!$E$3:$E$72</xm:f>
          </x14:formula1>
          <xm:sqref>C6:D6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FF99"/>
  </sheetPr>
  <dimension ref="A1:BC201"/>
  <sheetViews>
    <sheetView showGridLines="0" zoomScale="80" zoomScaleNormal="80" workbookViewId="0">
      <pane xSplit="20" ySplit="2" topLeftCell="U172" activePane="bottomRight" state="frozen"/>
      <selection pane="topRight" activeCell="U1" sqref="U1"/>
      <selection pane="bottomLeft" activeCell="A3" sqref="A3"/>
      <selection pane="bottomRight"/>
    </sheetView>
  </sheetViews>
  <sheetFormatPr baseColWidth="10" defaultColWidth="12.75" defaultRowHeight="15" customHeight="1" outlineLevelCol="1"/>
  <cols>
    <col min="1" max="1" width="25" customWidth="1"/>
    <col min="2" max="2" width="14.25" customWidth="1"/>
    <col min="3" max="3" width="20.125" hidden="1" customWidth="1" outlineLevel="1"/>
    <col min="4" max="4" width="12.75" hidden="1" customWidth="1" outlineLevel="1"/>
    <col min="5" max="5" width="15.375" hidden="1" customWidth="1" outlineLevel="1"/>
    <col min="6" max="6" width="9.125" hidden="1" customWidth="1" outlineLevel="1"/>
    <col min="7" max="7" width="6.625" hidden="1" customWidth="1" outlineLevel="1"/>
    <col min="8" max="8" width="8.625" hidden="1" customWidth="1" outlineLevel="1"/>
    <col min="9" max="9" width="14.625" hidden="1" customWidth="1" outlineLevel="1"/>
    <col min="10" max="10" width="9.25" hidden="1" customWidth="1" outlineLevel="1"/>
    <col min="11" max="11" width="28.375" hidden="1" customWidth="1" outlineLevel="1"/>
    <col min="12" max="12" width="18" hidden="1" customWidth="1" outlineLevel="1"/>
    <col min="13" max="13" width="19.875" hidden="1" customWidth="1" outlineLevel="1"/>
    <col min="14" max="14" width="18" hidden="1" customWidth="1" outlineLevel="1"/>
    <col min="15" max="15" width="16.375" customWidth="1" collapsed="1"/>
    <col min="16" max="16" width="12.75" customWidth="1"/>
    <col min="17" max="17" width="13.375" customWidth="1"/>
    <col min="18" max="18" width="9" style="43" hidden="1" customWidth="1" outlineLevel="1"/>
    <col min="19" max="19" width="8.125" style="43" hidden="1" customWidth="1" outlineLevel="1"/>
    <col min="20" max="20" width="13.375" hidden="1" customWidth="1" outlineLevel="1"/>
    <col min="21" max="21" width="7.75" bestFit="1" customWidth="1" collapsed="1"/>
    <col min="22" max="22" width="13.75" customWidth="1"/>
    <col min="23" max="23" width="12.75" customWidth="1"/>
    <col min="24" max="24" width="14.75" customWidth="1"/>
    <col min="25" max="25" width="13.75" customWidth="1"/>
    <col min="26" max="26" width="18.75" customWidth="1"/>
    <col min="27" max="27" width="12.375" customWidth="1"/>
    <col min="28" max="28" width="17.25" customWidth="1"/>
    <col min="29" max="29" width="11.25" customWidth="1"/>
    <col min="30" max="30" width="8.75" customWidth="1"/>
    <col min="31" max="31" width="10.75" customWidth="1"/>
    <col min="32" max="32" width="18.375" customWidth="1"/>
    <col min="33" max="33" width="14.75" customWidth="1"/>
    <col min="34" max="34" width="15.75" customWidth="1"/>
    <col min="35" max="35" width="16.75" customWidth="1"/>
    <col min="36" max="36" width="15.875" customWidth="1"/>
    <col min="37" max="37" width="25" customWidth="1"/>
    <col min="38" max="38" width="19.25" customWidth="1"/>
    <col min="39" max="39" width="19.75" customWidth="1"/>
    <col min="40" max="40" width="14.25" customWidth="1"/>
    <col min="41" max="42" width="11.75" customWidth="1"/>
    <col min="43" max="43" width="16.875" customWidth="1"/>
    <col min="44" max="44" width="13.25" customWidth="1"/>
    <col min="45" max="45" width="40" customWidth="1"/>
    <col min="46" max="46" width="19" customWidth="1"/>
    <col min="47" max="47" width="17.375" customWidth="1"/>
    <col min="48" max="48" width="14" customWidth="1"/>
    <col min="49" max="49" width="25.25" customWidth="1"/>
    <col min="50" max="50" width="81" customWidth="1"/>
    <col min="51" max="51" width="24.125" bestFit="1" customWidth="1"/>
    <col min="52" max="52" width="22.75" customWidth="1"/>
    <col min="53" max="53" width="24.75" customWidth="1"/>
    <col min="54" max="54" width="47.75" customWidth="1"/>
    <col min="55" max="55" width="45.875" customWidth="1"/>
  </cols>
  <sheetData>
    <row r="1" spans="1:55" ht="14.25" customHeight="1">
      <c r="O1" s="4"/>
      <c r="P1" s="115">
        <f>SUBTOTAL(9,P3:P470)</f>
        <v>6369900</v>
      </c>
      <c r="Q1" s="115">
        <f>SUBTOTAL(9,Q3:Q470)</f>
        <v>3225204</v>
      </c>
      <c r="R1" s="60"/>
      <c r="S1" s="60"/>
      <c r="T1" s="7"/>
      <c r="U1" s="32"/>
      <c r="V1" s="5"/>
      <c r="W1" s="5"/>
      <c r="X1" s="4"/>
      <c r="Y1" s="4"/>
      <c r="Z1" s="4"/>
      <c r="AA1" s="4"/>
      <c r="AB1" s="81"/>
      <c r="AC1" s="4"/>
      <c r="AD1" s="4"/>
      <c r="AE1" s="4"/>
      <c r="AF1" s="4"/>
      <c r="AG1" s="7">
        <f>SUBTOTAL(9,AG3:AG470)</f>
        <v>6369900</v>
      </c>
      <c r="AH1" s="7">
        <f>SUBTOTAL(9,AH3:AH470)</f>
        <v>5928960</v>
      </c>
      <c r="AI1" s="7">
        <f>SUBTOTAL(9,AI3:AI470)</f>
        <v>278990</v>
      </c>
      <c r="AJ1" s="4"/>
      <c r="AK1" s="7">
        <f>SUBTOTAL(9,AK3:AK470)</f>
        <v>3899520</v>
      </c>
      <c r="AL1" s="4"/>
      <c r="AM1" s="7">
        <f>SUBTOTAL(9,AM3:AM186)</f>
        <v>0</v>
      </c>
      <c r="AN1" s="4"/>
      <c r="AO1" s="4"/>
      <c r="AP1" s="4"/>
      <c r="AQ1" s="4"/>
      <c r="AR1" s="31" t="s">
        <v>46</v>
      </c>
      <c r="AT1" s="4"/>
      <c r="AU1" s="4"/>
      <c r="AV1" s="4"/>
      <c r="AW1" s="4"/>
      <c r="AX1" s="4"/>
      <c r="AY1" s="4"/>
      <c r="AZ1" s="4"/>
      <c r="BA1" s="4"/>
      <c r="BB1" s="4"/>
      <c r="BC1" s="4"/>
    </row>
    <row r="2" spans="1:55" ht="14.25" customHeight="1">
      <c r="A2" s="61" t="s">
        <v>29</v>
      </c>
      <c r="B2" s="61" t="s">
        <v>335</v>
      </c>
      <c r="C2" s="61" t="s">
        <v>469</v>
      </c>
      <c r="D2" s="61" t="s">
        <v>53</v>
      </c>
      <c r="E2" s="61" t="s">
        <v>0</v>
      </c>
      <c r="F2" s="61" t="s">
        <v>57</v>
      </c>
      <c r="G2" s="61" t="s">
        <v>58</v>
      </c>
      <c r="H2" s="61" t="s">
        <v>31</v>
      </c>
      <c r="I2" s="61" t="s">
        <v>32</v>
      </c>
      <c r="J2" s="61" t="s">
        <v>42</v>
      </c>
      <c r="K2" s="61" t="s">
        <v>491</v>
      </c>
      <c r="L2" s="61" t="s">
        <v>485</v>
      </c>
      <c r="M2" s="61" t="s">
        <v>490</v>
      </c>
      <c r="N2" s="61" t="s">
        <v>486</v>
      </c>
      <c r="O2" s="8" t="s">
        <v>47</v>
      </c>
      <c r="P2" s="8" t="s">
        <v>48</v>
      </c>
      <c r="Q2" s="8" t="s">
        <v>49</v>
      </c>
      <c r="R2" s="61" t="s">
        <v>38</v>
      </c>
      <c r="S2" s="61" t="s">
        <v>489</v>
      </c>
      <c r="T2" s="8" t="s">
        <v>37</v>
      </c>
      <c r="U2" s="9" t="s">
        <v>50</v>
      </c>
      <c r="V2" s="9" t="s">
        <v>51</v>
      </c>
      <c r="W2" s="9" t="s">
        <v>52</v>
      </c>
      <c r="X2" s="9" t="s">
        <v>53</v>
      </c>
      <c r="Y2" s="9" t="s">
        <v>54</v>
      </c>
      <c r="Z2" s="9" t="s">
        <v>55</v>
      </c>
      <c r="AA2" s="9" t="s">
        <v>56</v>
      </c>
      <c r="AB2" s="9" t="s">
        <v>0</v>
      </c>
      <c r="AC2" s="9" t="s">
        <v>57</v>
      </c>
      <c r="AD2" s="9" t="s">
        <v>58</v>
      </c>
      <c r="AE2" s="9" t="s">
        <v>31</v>
      </c>
      <c r="AF2" s="9" t="s">
        <v>32</v>
      </c>
      <c r="AG2" s="9" t="s">
        <v>59</v>
      </c>
      <c r="AH2" s="9" t="s">
        <v>60</v>
      </c>
      <c r="AI2" s="9" t="s">
        <v>62</v>
      </c>
      <c r="AJ2" s="9" t="s">
        <v>63</v>
      </c>
      <c r="AK2" s="9" t="s">
        <v>64</v>
      </c>
      <c r="AL2" s="9" t="s">
        <v>65</v>
      </c>
      <c r="AM2" s="9" t="s">
        <v>66</v>
      </c>
      <c r="AN2" s="9" t="s">
        <v>67</v>
      </c>
      <c r="AO2" s="9" t="s">
        <v>68</v>
      </c>
      <c r="AP2" s="9" t="s">
        <v>501</v>
      </c>
      <c r="AQ2" s="9" t="s">
        <v>69</v>
      </c>
      <c r="AR2" s="9" t="s">
        <v>70</v>
      </c>
      <c r="AS2" s="9" t="s">
        <v>71</v>
      </c>
      <c r="AT2" s="9" t="s">
        <v>72</v>
      </c>
      <c r="AU2" s="9" t="s">
        <v>73</v>
      </c>
      <c r="AV2" s="9" t="s">
        <v>1</v>
      </c>
      <c r="AW2" s="9" t="s">
        <v>74</v>
      </c>
      <c r="AX2" s="9" t="s">
        <v>75</v>
      </c>
      <c r="AY2" s="9" t="s">
        <v>76</v>
      </c>
      <c r="AZ2" s="9" t="s">
        <v>77</v>
      </c>
      <c r="BA2" s="9" t="s">
        <v>78</v>
      </c>
      <c r="BB2" s="9" t="s">
        <v>79</v>
      </c>
      <c r="BC2" s="9" t="s">
        <v>502</v>
      </c>
    </row>
    <row r="3" spans="1:55" ht="14.25" customHeight="1">
      <c r="A3" t="str">
        <f>IFERROR(VLOOKUP(AV3,Nómina!B:E,4,0),"")</f>
        <v>PAMELA VERONICA CID NAVIA  </v>
      </c>
      <c r="B3" t="str">
        <f>IFERROR(VLOOKUP(A3,Nómina!E:F,2,0),"")</f>
        <v>8008360-2</v>
      </c>
      <c r="C3" s="30">
        <f>IFERROR(Q3,"")</f>
        <v>22689</v>
      </c>
      <c r="D3" t="str">
        <f>IFERROR(X3,"")</f>
        <v>2026-07-01</v>
      </c>
      <c r="E3" t="str">
        <f>IFERROR(O3,"")</f>
        <v>CERTIFICADO B2C</v>
      </c>
      <c r="F3" t="str">
        <f>IFERROR(AC3,"")</f>
        <v>Masaje</v>
      </c>
      <c r="G3" t="str">
        <f>IFERROR(AD3,"")</f>
        <v>Individual</v>
      </c>
      <c r="H3" t="str">
        <f>IFERROR(AE3,"")</f>
        <v>60min</v>
      </c>
      <c r="I3" t="str">
        <f>IFERROR(AF3,"")</f>
        <v>Relajante</v>
      </c>
      <c r="J3" t="str">
        <f>IFERROR(AT3,"")</f>
        <v>VITACURA</v>
      </c>
      <c r="K3" t="str">
        <f>IFERROR(AX3,"")</f>
        <v>Ninguno</v>
      </c>
      <c r="L3">
        <f>IFERROR(AY3,"")</f>
        <v>0</v>
      </c>
      <c r="M3">
        <f>IFERROR(AZ3,"")</f>
        <v>0</v>
      </c>
      <c r="N3" t="str">
        <f>IFERROR(BA3,"")</f>
        <v/>
      </c>
      <c r="O3" s="10" t="str">
        <f>+VLOOKUP(Z3,listas!$B:$C,2,0)</f>
        <v>CERTIFICADO B2C</v>
      </c>
      <c r="P3" s="11">
        <f t="shared" ref="P3:P66" si="0">AG3</f>
        <v>45000</v>
      </c>
      <c r="Q3" s="11">
        <f>IF(AC3="Extra",IF(AF3="Extra de transporte",ROUND(P3/1.19*0.95,0),ROUND(P3/1.19*0.6,0)),ROUND(P3/1.19*0.6,0))</f>
        <v>22689</v>
      </c>
      <c r="R3" s="59">
        <f>MONTH(X3)</f>
        <v>7</v>
      </c>
      <c r="S3" s="59">
        <f>DAY(X3)</f>
        <v>1</v>
      </c>
      <c r="T3" s="11">
        <f>IF(S3&gt;15,2,1)</f>
        <v>1</v>
      </c>
      <c r="U3" s="120" t="s">
        <v>80</v>
      </c>
      <c r="V3" s="120" t="s">
        <v>565</v>
      </c>
      <c r="W3" s="120" t="s">
        <v>561</v>
      </c>
      <c r="X3" s="120" t="s">
        <v>566</v>
      </c>
      <c r="Y3" s="120" t="s">
        <v>554</v>
      </c>
      <c r="Z3" s="120" t="s">
        <v>170</v>
      </c>
      <c r="AA3" s="120" t="s">
        <v>81</v>
      </c>
      <c r="AB3" s="120" t="s">
        <v>4</v>
      </c>
      <c r="AC3" s="120" t="s">
        <v>82</v>
      </c>
      <c r="AD3" s="120" t="s">
        <v>83</v>
      </c>
      <c r="AE3" s="120" t="s">
        <v>84</v>
      </c>
      <c r="AF3" s="120" t="s">
        <v>85</v>
      </c>
      <c r="AG3" s="133">
        <v>45000</v>
      </c>
      <c r="AH3" s="133">
        <v>0</v>
      </c>
      <c r="AI3" s="133">
        <v>45000</v>
      </c>
      <c r="AJ3" s="133">
        <v>0</v>
      </c>
      <c r="AK3" s="133">
        <v>27000</v>
      </c>
      <c r="AL3" s="120" t="s">
        <v>86</v>
      </c>
      <c r="AM3" s="120" t="s">
        <v>567</v>
      </c>
      <c r="AN3" s="120" t="s">
        <v>86</v>
      </c>
      <c r="AO3" s="120" t="s">
        <v>86</v>
      </c>
      <c r="AP3" s="120" t="s">
        <v>86</v>
      </c>
      <c r="AQ3" s="120" t="s">
        <v>568</v>
      </c>
      <c r="AR3" s="120" t="s">
        <v>569</v>
      </c>
      <c r="AS3" s="120" t="s">
        <v>115</v>
      </c>
      <c r="AT3" s="120" t="s">
        <v>115</v>
      </c>
      <c r="AU3" s="120" t="s">
        <v>144</v>
      </c>
      <c r="AV3" s="120" t="s">
        <v>19</v>
      </c>
      <c r="AW3" s="120" t="s">
        <v>92</v>
      </c>
      <c r="AX3" s="120" t="s">
        <v>103</v>
      </c>
      <c r="AY3" s="120">
        <v>0</v>
      </c>
      <c r="AZ3" s="120">
        <v>0</v>
      </c>
      <c r="BA3" s="120" t="s">
        <v>86</v>
      </c>
      <c r="BB3" s="134" t="s">
        <v>570</v>
      </c>
      <c r="BC3" s="120" t="s">
        <v>86</v>
      </c>
    </row>
    <row r="4" spans="1:55" ht="14.25" customHeight="1">
      <c r="A4" t="str">
        <f>IFERROR(VLOOKUP(AV4,Nómina!B:E,4,0),"")</f>
        <v>CLAUDIA ESTRELLA ESPINOZA CANIUQUEO</v>
      </c>
      <c r="B4" t="str">
        <f>IFERROR(VLOOKUP(A4,Nómina!E:F,2,0),"")</f>
        <v>13441148-1</v>
      </c>
      <c r="C4" s="30">
        <f t="shared" ref="C4:C67" si="1">IFERROR(Q4,"")</f>
        <v>22689</v>
      </c>
      <c r="D4" t="str">
        <f t="shared" ref="D4:D67" si="2">IFERROR(X4,"")</f>
        <v>2026-07-01</v>
      </c>
      <c r="E4" t="str">
        <f t="shared" ref="E4:E67" si="3">IFERROR(O4,"")</f>
        <v>CERTIFICADO B2B</v>
      </c>
      <c r="F4" t="str">
        <f t="shared" ref="F4:F67" si="4">IFERROR(AC4,"")</f>
        <v>Masaje</v>
      </c>
      <c r="G4" t="str">
        <f t="shared" ref="G4:G67" si="5">IFERROR(AD4,"")</f>
        <v>Individual</v>
      </c>
      <c r="H4" t="str">
        <f t="shared" ref="H4:H67" si="6">IFERROR(AE4,"")</f>
        <v>60min</v>
      </c>
      <c r="I4" t="str">
        <f t="shared" ref="I4:I67" si="7">IFERROR(AF4,"")</f>
        <v>Relajante</v>
      </c>
      <c r="J4" t="str">
        <f t="shared" ref="J4:J67" si="8">IFERROR(AT4,"")</f>
        <v>ESTACIÓN CENTRAL</v>
      </c>
      <c r="K4" t="str">
        <f t="shared" ref="K4:K67" si="9">IFERROR(AX4,"")</f>
        <v>Ninguno</v>
      </c>
      <c r="L4">
        <f t="shared" ref="L4:L67" si="10">IFERROR(AY4,"")</f>
        <v>0</v>
      </c>
      <c r="M4">
        <f t="shared" ref="M4:M67" si="11">IFERROR(AZ4,"")</f>
        <v>0</v>
      </c>
      <c r="N4" t="str">
        <f t="shared" ref="N4:N67" si="12">IFERROR(BA4,"")</f>
        <v/>
      </c>
      <c r="O4" s="10" t="str">
        <f>+VLOOKUP(Z4,listas!$B:$C,2,0)</f>
        <v>CERTIFICADO B2B</v>
      </c>
      <c r="P4" s="11">
        <f t="shared" si="0"/>
        <v>45000</v>
      </c>
      <c r="Q4" s="11">
        <f t="shared" ref="Q4:Q67" si="13">IF(AC4="Extra",IF(AF4="Extra de transporte",ROUND(P4/1.19*0.95,0),ROUND(P4/1.19*0.6,0)),ROUND(P4/1.19*0.6,0))</f>
        <v>22689</v>
      </c>
      <c r="R4" s="59">
        <f t="shared" ref="R4:R67" si="14">MONTH(X4)</f>
        <v>7</v>
      </c>
      <c r="S4" s="59">
        <f t="shared" ref="S4:S67" si="15">DAY(X4)</f>
        <v>1</v>
      </c>
      <c r="T4" s="11">
        <f t="shared" ref="T4:T67" si="16">IF(S4&gt;15,2,1)</f>
        <v>1</v>
      </c>
      <c r="U4" s="120" t="s">
        <v>80</v>
      </c>
      <c r="V4" s="120" t="s">
        <v>571</v>
      </c>
      <c r="W4" s="120" t="s">
        <v>572</v>
      </c>
      <c r="X4" s="120" t="s">
        <v>566</v>
      </c>
      <c r="Y4" s="120" t="s">
        <v>118</v>
      </c>
      <c r="Z4" s="120" t="s">
        <v>135</v>
      </c>
      <c r="AA4" s="120" t="s">
        <v>81</v>
      </c>
      <c r="AB4" s="120" t="s">
        <v>3</v>
      </c>
      <c r="AC4" s="120" t="s">
        <v>82</v>
      </c>
      <c r="AD4" s="120" t="s">
        <v>83</v>
      </c>
      <c r="AE4" s="120" t="s">
        <v>84</v>
      </c>
      <c r="AF4" s="120" t="s">
        <v>85</v>
      </c>
      <c r="AG4" s="133">
        <v>45000</v>
      </c>
      <c r="AH4" s="133">
        <v>0</v>
      </c>
      <c r="AI4" s="133">
        <v>45000</v>
      </c>
      <c r="AJ4" s="133">
        <v>0</v>
      </c>
      <c r="AK4" s="133">
        <v>27000</v>
      </c>
      <c r="AL4" s="120" t="s">
        <v>86</v>
      </c>
      <c r="AM4" s="120" t="s">
        <v>573</v>
      </c>
      <c r="AN4" s="120" t="s">
        <v>574</v>
      </c>
      <c r="AO4" s="120" t="s">
        <v>575</v>
      </c>
      <c r="AP4" s="120" t="s">
        <v>86</v>
      </c>
      <c r="AQ4" s="120" t="s">
        <v>576</v>
      </c>
      <c r="AR4" s="120" t="s">
        <v>577</v>
      </c>
      <c r="AS4" s="120" t="s">
        <v>578</v>
      </c>
      <c r="AT4" s="120" t="s">
        <v>578</v>
      </c>
      <c r="AU4" s="120" t="s">
        <v>136</v>
      </c>
      <c r="AV4" s="120" t="s">
        <v>8</v>
      </c>
      <c r="AW4" s="120" t="s">
        <v>92</v>
      </c>
      <c r="AX4" s="120" t="s">
        <v>103</v>
      </c>
      <c r="AY4" s="120">
        <v>0</v>
      </c>
      <c r="AZ4" s="120">
        <v>0</v>
      </c>
      <c r="BA4" s="120" t="s">
        <v>86</v>
      </c>
      <c r="BB4" s="134" t="s">
        <v>579</v>
      </c>
      <c r="BC4" s="120" t="s">
        <v>86</v>
      </c>
    </row>
    <row r="5" spans="1:55" ht="14.25" customHeight="1">
      <c r="A5" t="str">
        <f>IFERROR(VLOOKUP(AV5,Nómina!B:E,4,0),"")</f>
        <v>GENESIS VALENTINA SALAZAR GUEVARA</v>
      </c>
      <c r="B5" t="str">
        <f>IFERROR(VLOOKUP(A5,Nómina!E:F,2,0),"")</f>
        <v>27828546-4</v>
      </c>
      <c r="C5" s="30">
        <f t="shared" si="1"/>
        <v>22689</v>
      </c>
      <c r="D5" t="str">
        <f t="shared" si="2"/>
        <v>2026-07-01</v>
      </c>
      <c r="E5" t="str">
        <f t="shared" si="3"/>
        <v>B2C</v>
      </c>
      <c r="F5" t="str">
        <f t="shared" si="4"/>
        <v>Masaje</v>
      </c>
      <c r="G5" t="str">
        <f t="shared" si="5"/>
        <v>Individual</v>
      </c>
      <c r="H5" t="str">
        <f t="shared" si="6"/>
        <v>60min</v>
      </c>
      <c r="I5" t="str">
        <f t="shared" si="7"/>
        <v>Relajante</v>
      </c>
      <c r="J5" t="str">
        <f t="shared" si="8"/>
        <v>LAS CONDES</v>
      </c>
      <c r="K5" t="str">
        <f t="shared" si="9"/>
        <v>Ninguno</v>
      </c>
      <c r="L5">
        <f t="shared" si="10"/>
        <v>0</v>
      </c>
      <c r="M5">
        <f t="shared" si="11"/>
        <v>0</v>
      </c>
      <c r="N5" t="str">
        <f t="shared" si="12"/>
        <v/>
      </c>
      <c r="O5" s="10" t="str">
        <f>+VLOOKUP(Z5,listas!$B:$C,2,0)</f>
        <v>B2C</v>
      </c>
      <c r="P5" s="11">
        <f t="shared" si="0"/>
        <v>45000</v>
      </c>
      <c r="Q5" s="11">
        <f t="shared" si="13"/>
        <v>22689</v>
      </c>
      <c r="R5" s="59">
        <f t="shared" si="14"/>
        <v>7</v>
      </c>
      <c r="S5" s="59">
        <f t="shared" si="15"/>
        <v>1</v>
      </c>
      <c r="T5" s="11">
        <f t="shared" si="16"/>
        <v>1</v>
      </c>
      <c r="U5" s="120" t="s">
        <v>80</v>
      </c>
      <c r="V5" s="120" t="s">
        <v>580</v>
      </c>
      <c r="W5" s="120" t="s">
        <v>553</v>
      </c>
      <c r="X5" s="120" t="s">
        <v>566</v>
      </c>
      <c r="Y5" s="120" t="s">
        <v>97</v>
      </c>
      <c r="Z5" s="120" t="s">
        <v>98</v>
      </c>
      <c r="AA5" s="120" t="s">
        <v>131</v>
      </c>
      <c r="AB5" s="120" t="s">
        <v>4</v>
      </c>
      <c r="AC5" s="120" t="s">
        <v>82</v>
      </c>
      <c r="AD5" s="120" t="s">
        <v>83</v>
      </c>
      <c r="AE5" s="120" t="s">
        <v>84</v>
      </c>
      <c r="AF5" s="120" t="s">
        <v>85</v>
      </c>
      <c r="AG5" s="133">
        <v>45000</v>
      </c>
      <c r="AH5" s="133">
        <v>45000</v>
      </c>
      <c r="AI5" s="133">
        <v>0</v>
      </c>
      <c r="AJ5" s="133">
        <v>0</v>
      </c>
      <c r="AK5" s="133">
        <v>27000</v>
      </c>
      <c r="AL5" s="120" t="s">
        <v>86</v>
      </c>
      <c r="AM5" s="120" t="s">
        <v>86</v>
      </c>
      <c r="AN5" s="120" t="s">
        <v>86</v>
      </c>
      <c r="AO5" s="120" t="s">
        <v>86</v>
      </c>
      <c r="AP5" s="120" t="s">
        <v>86</v>
      </c>
      <c r="AQ5" s="120" t="s">
        <v>581</v>
      </c>
      <c r="AR5" s="120" t="s">
        <v>582</v>
      </c>
      <c r="AS5" s="120" t="s">
        <v>89</v>
      </c>
      <c r="AT5" s="120" t="s">
        <v>89</v>
      </c>
      <c r="AU5" s="120" t="s">
        <v>109</v>
      </c>
      <c r="AV5" s="120" t="s">
        <v>549</v>
      </c>
      <c r="AW5" s="120" t="s">
        <v>92</v>
      </c>
      <c r="AX5" s="120" t="s">
        <v>103</v>
      </c>
      <c r="AY5" s="120">
        <v>0</v>
      </c>
      <c r="AZ5" s="120">
        <v>0</v>
      </c>
      <c r="BA5" s="120" t="s">
        <v>86</v>
      </c>
      <c r="BB5" s="134" t="s">
        <v>583</v>
      </c>
      <c r="BC5" s="120" t="s">
        <v>86</v>
      </c>
    </row>
    <row r="6" spans="1:55" ht="14.25" customHeight="1">
      <c r="A6" t="str">
        <f>IFERROR(VLOOKUP(AV6,Nómina!B:E,4,0),"")</f>
        <v>PAMELA CONSTANZA HUILITRARO QUEZADA</v>
      </c>
      <c r="B6" t="str">
        <f>IFERROR(VLOOKUP(A6,Nómina!E:F,2,0),"")</f>
        <v>18881513-8</v>
      </c>
      <c r="C6" s="30">
        <f t="shared" si="1"/>
        <v>31765</v>
      </c>
      <c r="D6" t="str">
        <f t="shared" si="2"/>
        <v>2026-07-01</v>
      </c>
      <c r="E6" t="str">
        <f t="shared" si="3"/>
        <v>HOTEL</v>
      </c>
      <c r="F6" t="str">
        <f t="shared" si="4"/>
        <v>Masaje</v>
      </c>
      <c r="G6" t="str">
        <f t="shared" si="5"/>
        <v>Individual</v>
      </c>
      <c r="H6" t="str">
        <f t="shared" si="6"/>
        <v>90min</v>
      </c>
      <c r="I6" t="str">
        <f t="shared" si="7"/>
        <v>Tejido profundo</v>
      </c>
      <c r="J6" t="str">
        <f t="shared" si="8"/>
        <v>VITACURA</v>
      </c>
      <c r="K6" t="str">
        <f t="shared" si="9"/>
        <v>Huésped: Fernando Gelman. Hab: TBC.</v>
      </c>
      <c r="L6">
        <f t="shared" si="10"/>
        <v>0</v>
      </c>
      <c r="M6">
        <f t="shared" si="11"/>
        <v>0</v>
      </c>
      <c r="N6" t="str">
        <f t="shared" si="12"/>
        <v/>
      </c>
      <c r="O6" s="10" t="str">
        <f>+VLOOKUP(Z6,listas!$B:$C,2,0)</f>
        <v>HOTEL</v>
      </c>
      <c r="P6" s="11">
        <f t="shared" si="0"/>
        <v>63000</v>
      </c>
      <c r="Q6" s="11">
        <f t="shared" si="13"/>
        <v>31765</v>
      </c>
      <c r="R6" s="59">
        <f t="shared" si="14"/>
        <v>7</v>
      </c>
      <c r="S6" s="59">
        <f t="shared" si="15"/>
        <v>1</v>
      </c>
      <c r="T6" s="11">
        <f t="shared" si="16"/>
        <v>1</v>
      </c>
      <c r="U6" s="120" t="s">
        <v>80</v>
      </c>
      <c r="V6" s="120" t="s">
        <v>584</v>
      </c>
      <c r="W6" s="120" t="s">
        <v>566</v>
      </c>
      <c r="X6" s="120" t="s">
        <v>566</v>
      </c>
      <c r="Y6" s="120" t="s">
        <v>97</v>
      </c>
      <c r="Z6" s="120" t="s">
        <v>5</v>
      </c>
      <c r="AA6" s="120" t="s">
        <v>81</v>
      </c>
      <c r="AB6" s="120" t="s">
        <v>5</v>
      </c>
      <c r="AC6" s="120" t="s">
        <v>82</v>
      </c>
      <c r="AD6" s="120" t="s">
        <v>83</v>
      </c>
      <c r="AE6" s="120" t="s">
        <v>146</v>
      </c>
      <c r="AF6" s="120" t="s">
        <v>123</v>
      </c>
      <c r="AG6" s="133">
        <v>63000</v>
      </c>
      <c r="AH6" s="133">
        <v>63000</v>
      </c>
      <c r="AI6" s="133">
        <v>0</v>
      </c>
      <c r="AJ6" s="133">
        <v>0</v>
      </c>
      <c r="AK6" s="133">
        <v>37800</v>
      </c>
      <c r="AL6" s="120" t="s">
        <v>86</v>
      </c>
      <c r="AM6" s="120" t="s">
        <v>86</v>
      </c>
      <c r="AN6" s="120" t="s">
        <v>86</v>
      </c>
      <c r="AO6" s="120" t="s">
        <v>86</v>
      </c>
      <c r="AP6" s="120" t="s">
        <v>86</v>
      </c>
      <c r="AQ6" s="120" t="s">
        <v>124</v>
      </c>
      <c r="AR6" s="120" t="s">
        <v>125</v>
      </c>
      <c r="AS6" s="120" t="s">
        <v>115</v>
      </c>
      <c r="AT6" s="120" t="s">
        <v>115</v>
      </c>
      <c r="AU6" s="120" t="s">
        <v>91</v>
      </c>
      <c r="AV6" s="120" t="s">
        <v>20</v>
      </c>
      <c r="AW6" s="120" t="s">
        <v>92</v>
      </c>
      <c r="AX6" s="120" t="s">
        <v>585</v>
      </c>
      <c r="AY6" s="120">
        <v>0</v>
      </c>
      <c r="AZ6" s="120">
        <v>0</v>
      </c>
      <c r="BA6" s="120" t="s">
        <v>86</v>
      </c>
      <c r="BB6" s="134" t="s">
        <v>586</v>
      </c>
      <c r="BC6" s="120" t="s">
        <v>86</v>
      </c>
    </row>
    <row r="7" spans="1:55" ht="14.25" customHeight="1">
      <c r="A7" t="str">
        <f>IFERROR(VLOOKUP(AV7,Nómina!B:E,4,0),"")</f>
        <v>SERGIO RODRÍGUEZ</v>
      </c>
      <c r="B7" t="str">
        <f>IFERROR(VLOOKUP(A7,Nómina!E:F,2,0),"")</f>
        <v>27988098-6</v>
      </c>
      <c r="C7" s="30">
        <f t="shared" si="1"/>
        <v>22689</v>
      </c>
      <c r="D7" t="str">
        <f t="shared" si="2"/>
        <v>2026-07-01</v>
      </c>
      <c r="E7" t="str">
        <f t="shared" si="3"/>
        <v>HOTEL</v>
      </c>
      <c r="F7" t="str">
        <f t="shared" si="4"/>
        <v>Masaje</v>
      </c>
      <c r="G7" t="str">
        <f t="shared" si="5"/>
        <v>Pareja</v>
      </c>
      <c r="H7" t="str">
        <f t="shared" si="6"/>
        <v>60min</v>
      </c>
      <c r="I7" t="str">
        <f t="shared" si="7"/>
        <v>Relajante</v>
      </c>
      <c r="J7" t="str">
        <f t="shared" si="8"/>
        <v>PROVIDENCIA</v>
      </c>
      <c r="K7" t="str">
        <f t="shared" si="9"/>
        <v>Huéspedes: Andres Valenzuela &amp; Dominique Rousseau. Hab: 206.</v>
      </c>
      <c r="L7">
        <f t="shared" si="10"/>
        <v>0</v>
      </c>
      <c r="M7">
        <f t="shared" si="11"/>
        <v>0</v>
      </c>
      <c r="N7" t="str">
        <f t="shared" si="12"/>
        <v/>
      </c>
      <c r="O7" s="10" t="str">
        <f>+VLOOKUP(Z7,listas!$B:$C,2,0)</f>
        <v>HOTEL</v>
      </c>
      <c r="P7" s="11">
        <f t="shared" si="0"/>
        <v>45000</v>
      </c>
      <c r="Q7" s="11">
        <f t="shared" si="13"/>
        <v>22689</v>
      </c>
      <c r="R7" s="59">
        <f t="shared" si="14"/>
        <v>7</v>
      </c>
      <c r="S7" s="59">
        <f t="shared" si="15"/>
        <v>1</v>
      </c>
      <c r="T7" s="11">
        <f t="shared" si="16"/>
        <v>1</v>
      </c>
      <c r="U7" s="120" t="s">
        <v>80</v>
      </c>
      <c r="V7" s="120" t="s">
        <v>587</v>
      </c>
      <c r="W7" s="120" t="s">
        <v>562</v>
      </c>
      <c r="X7" s="120" t="s">
        <v>566</v>
      </c>
      <c r="Y7" s="120" t="s">
        <v>142</v>
      </c>
      <c r="Z7" s="120" t="s">
        <v>5</v>
      </c>
      <c r="AA7" s="120" t="s">
        <v>81</v>
      </c>
      <c r="AB7" s="120" t="s">
        <v>5</v>
      </c>
      <c r="AC7" s="120" t="s">
        <v>82</v>
      </c>
      <c r="AD7" s="120" t="s">
        <v>119</v>
      </c>
      <c r="AE7" s="120" t="s">
        <v>84</v>
      </c>
      <c r="AF7" s="120" t="s">
        <v>85</v>
      </c>
      <c r="AG7" s="133">
        <v>45000</v>
      </c>
      <c r="AH7" s="133">
        <v>45000</v>
      </c>
      <c r="AI7" s="133">
        <v>0</v>
      </c>
      <c r="AJ7" s="133">
        <v>0</v>
      </c>
      <c r="AK7" s="133">
        <v>27000</v>
      </c>
      <c r="AL7" s="120" t="s">
        <v>86</v>
      </c>
      <c r="AM7" s="120" t="s">
        <v>86</v>
      </c>
      <c r="AN7" s="120" t="s">
        <v>86</v>
      </c>
      <c r="AO7" s="120" t="s">
        <v>86</v>
      </c>
      <c r="AP7" s="120" t="s">
        <v>86</v>
      </c>
      <c r="AQ7" s="120" t="s">
        <v>588</v>
      </c>
      <c r="AR7" s="120" t="s">
        <v>589</v>
      </c>
      <c r="AS7" s="120" t="s">
        <v>143</v>
      </c>
      <c r="AT7" s="120" t="s">
        <v>143</v>
      </c>
      <c r="AU7" s="120" t="s">
        <v>315</v>
      </c>
      <c r="AV7" s="120" t="s">
        <v>316</v>
      </c>
      <c r="AW7" s="120" t="s">
        <v>92</v>
      </c>
      <c r="AX7" s="120" t="s">
        <v>590</v>
      </c>
      <c r="AY7" s="120">
        <v>0</v>
      </c>
      <c r="AZ7" s="120">
        <v>0</v>
      </c>
      <c r="BA7" s="120" t="s">
        <v>86</v>
      </c>
      <c r="BB7" s="134" t="s">
        <v>591</v>
      </c>
      <c r="BC7" s="120" t="s">
        <v>86</v>
      </c>
    </row>
    <row r="8" spans="1:55" ht="14.25" customHeight="1">
      <c r="A8" t="str">
        <f>IFERROR(VLOOKUP(AV8,Nómina!B:E,4,0),"")</f>
        <v>CLAUDIA ESTRELLA ESPINOZA CANIUQUEO</v>
      </c>
      <c r="B8" t="str">
        <f>IFERROR(VLOOKUP(A8,Nómina!E:F,2,0),"")</f>
        <v>13441148-1</v>
      </c>
      <c r="C8" s="30">
        <f t="shared" si="1"/>
        <v>22689</v>
      </c>
      <c r="D8" t="str">
        <f t="shared" si="2"/>
        <v>2026-07-01</v>
      </c>
      <c r="E8" t="str">
        <f t="shared" si="3"/>
        <v>HOTEL</v>
      </c>
      <c r="F8" t="str">
        <f t="shared" si="4"/>
        <v>Masaje</v>
      </c>
      <c r="G8" t="str">
        <f t="shared" si="5"/>
        <v>Pareja</v>
      </c>
      <c r="H8" t="str">
        <f t="shared" si="6"/>
        <v>60min</v>
      </c>
      <c r="I8" t="str">
        <f t="shared" si="7"/>
        <v>Relajante</v>
      </c>
      <c r="J8" t="str">
        <f t="shared" si="8"/>
        <v>PROVIDENCIA</v>
      </c>
      <c r="K8" t="str">
        <f t="shared" si="9"/>
        <v>Huéspedes: Andres Valenzuela &amp; Dominique Rousseau. Hab: 206.</v>
      </c>
      <c r="L8">
        <f t="shared" si="10"/>
        <v>0</v>
      </c>
      <c r="M8">
        <f t="shared" si="11"/>
        <v>0</v>
      </c>
      <c r="N8" t="str">
        <f t="shared" si="12"/>
        <v/>
      </c>
      <c r="O8" s="10" t="str">
        <f>+VLOOKUP(Z8,listas!$B:$C,2,0)</f>
        <v>HOTEL</v>
      </c>
      <c r="P8" s="11">
        <f t="shared" si="0"/>
        <v>45000</v>
      </c>
      <c r="Q8" s="11">
        <f t="shared" si="13"/>
        <v>22689</v>
      </c>
      <c r="R8" s="59">
        <f t="shared" si="14"/>
        <v>7</v>
      </c>
      <c r="S8" s="59">
        <f t="shared" si="15"/>
        <v>1</v>
      </c>
      <c r="T8" s="11">
        <f t="shared" si="16"/>
        <v>1</v>
      </c>
      <c r="U8" s="120" t="s">
        <v>80</v>
      </c>
      <c r="V8" s="120" t="s">
        <v>587</v>
      </c>
      <c r="W8" s="120" t="s">
        <v>562</v>
      </c>
      <c r="X8" s="120" t="s">
        <v>566</v>
      </c>
      <c r="Y8" s="120" t="s">
        <v>142</v>
      </c>
      <c r="Z8" s="120" t="s">
        <v>5</v>
      </c>
      <c r="AA8" s="120" t="s">
        <v>81</v>
      </c>
      <c r="AB8" s="120" t="s">
        <v>5</v>
      </c>
      <c r="AC8" s="120" t="s">
        <v>82</v>
      </c>
      <c r="AD8" s="120" t="s">
        <v>119</v>
      </c>
      <c r="AE8" s="120" t="s">
        <v>84</v>
      </c>
      <c r="AF8" s="120" t="s">
        <v>85</v>
      </c>
      <c r="AG8" s="133">
        <v>45000</v>
      </c>
      <c r="AH8" s="133">
        <v>45000</v>
      </c>
      <c r="AI8" s="133">
        <v>0</v>
      </c>
      <c r="AJ8" s="133">
        <v>0</v>
      </c>
      <c r="AK8" s="133">
        <v>27000</v>
      </c>
      <c r="AL8" s="120" t="s">
        <v>86</v>
      </c>
      <c r="AM8" s="120" t="s">
        <v>86</v>
      </c>
      <c r="AN8" s="120" t="s">
        <v>86</v>
      </c>
      <c r="AO8" s="120" t="s">
        <v>86</v>
      </c>
      <c r="AP8" s="120" t="s">
        <v>86</v>
      </c>
      <c r="AQ8" s="120" t="s">
        <v>588</v>
      </c>
      <c r="AR8" s="120" t="s">
        <v>589</v>
      </c>
      <c r="AS8" s="120" t="s">
        <v>143</v>
      </c>
      <c r="AT8" s="120" t="s">
        <v>143</v>
      </c>
      <c r="AU8" s="120" t="s">
        <v>136</v>
      </c>
      <c r="AV8" s="120" t="s">
        <v>8</v>
      </c>
      <c r="AW8" s="120" t="s">
        <v>92</v>
      </c>
      <c r="AX8" s="120" t="s">
        <v>590</v>
      </c>
      <c r="AY8" s="120">
        <v>0</v>
      </c>
      <c r="AZ8" s="120">
        <v>0</v>
      </c>
      <c r="BA8" s="120" t="s">
        <v>86</v>
      </c>
      <c r="BB8" s="134" t="s">
        <v>591</v>
      </c>
      <c r="BC8" s="120" t="s">
        <v>86</v>
      </c>
    </row>
    <row r="9" spans="1:55" ht="14.25" customHeight="1">
      <c r="A9" t="str">
        <f>IFERROR(VLOOKUP(AV9,Nómina!B:E,4,0),"")</f>
        <v>DANIELA ANTONIA ALARCON ELIZALDE</v>
      </c>
      <c r="B9" t="str">
        <f>IFERROR(VLOOKUP(A9,Nómina!E:F,2,0),"")</f>
        <v>15893769-7</v>
      </c>
      <c r="C9" s="30">
        <f t="shared" si="1"/>
        <v>22689</v>
      </c>
      <c r="D9" t="str">
        <f t="shared" si="2"/>
        <v>2026-07-02</v>
      </c>
      <c r="E9" t="str">
        <f t="shared" si="3"/>
        <v>B2C</v>
      </c>
      <c r="F9" t="str">
        <f t="shared" si="4"/>
        <v>Masaje</v>
      </c>
      <c r="G9" t="str">
        <f t="shared" si="5"/>
        <v>Individual</v>
      </c>
      <c r="H9" t="str">
        <f t="shared" si="6"/>
        <v>60min</v>
      </c>
      <c r="I9" t="str">
        <f t="shared" si="7"/>
        <v>Relajante</v>
      </c>
      <c r="J9" t="str">
        <f t="shared" si="8"/>
        <v>SANTIAGO DE CHILE</v>
      </c>
      <c r="K9" t="str">
        <f t="shared" si="9"/>
        <v>Ninguno</v>
      </c>
      <c r="L9">
        <f t="shared" si="10"/>
        <v>0</v>
      </c>
      <c r="M9">
        <f t="shared" si="11"/>
        <v>0</v>
      </c>
      <c r="N9" t="str">
        <f t="shared" si="12"/>
        <v/>
      </c>
      <c r="O9" s="10" t="str">
        <f>+VLOOKUP(Z9,listas!$B:$C,2,0)</f>
        <v>B2C</v>
      </c>
      <c r="P9" s="11">
        <f t="shared" si="0"/>
        <v>45000</v>
      </c>
      <c r="Q9" s="11">
        <f t="shared" si="13"/>
        <v>22689</v>
      </c>
      <c r="R9" s="59">
        <f t="shared" si="14"/>
        <v>7</v>
      </c>
      <c r="S9" s="59">
        <f t="shared" si="15"/>
        <v>2</v>
      </c>
      <c r="T9" s="11">
        <f t="shared" si="16"/>
        <v>1</v>
      </c>
      <c r="U9" s="120" t="s">
        <v>80</v>
      </c>
      <c r="V9" s="120" t="s">
        <v>592</v>
      </c>
      <c r="W9" s="120" t="s">
        <v>572</v>
      </c>
      <c r="X9" s="120" t="s">
        <v>572</v>
      </c>
      <c r="Y9" s="120" t="s">
        <v>525</v>
      </c>
      <c r="Z9" s="120" t="s">
        <v>98</v>
      </c>
      <c r="AA9" s="120" t="s">
        <v>99</v>
      </c>
      <c r="AB9" s="120" t="s">
        <v>4</v>
      </c>
      <c r="AC9" s="120" t="s">
        <v>82</v>
      </c>
      <c r="AD9" s="120" t="s">
        <v>83</v>
      </c>
      <c r="AE9" s="120" t="s">
        <v>84</v>
      </c>
      <c r="AF9" s="120" t="s">
        <v>85</v>
      </c>
      <c r="AG9" s="133">
        <v>45000</v>
      </c>
      <c r="AH9" s="133">
        <v>40500</v>
      </c>
      <c r="AI9" s="133">
        <v>0</v>
      </c>
      <c r="AJ9" s="133">
        <v>4500</v>
      </c>
      <c r="AK9" s="133">
        <v>27000</v>
      </c>
      <c r="AL9" s="120" t="s">
        <v>593</v>
      </c>
      <c r="AM9" s="120" t="s">
        <v>86</v>
      </c>
      <c r="AN9" s="120" t="s">
        <v>86</v>
      </c>
      <c r="AO9" s="120" t="s">
        <v>86</v>
      </c>
      <c r="AP9" s="120" t="s">
        <v>86</v>
      </c>
      <c r="AQ9" s="120" t="s">
        <v>594</v>
      </c>
      <c r="AR9" s="120" t="s">
        <v>595</v>
      </c>
      <c r="AS9" s="120" t="s">
        <v>108</v>
      </c>
      <c r="AT9" s="120" t="s">
        <v>90</v>
      </c>
      <c r="AU9" s="120" t="s">
        <v>168</v>
      </c>
      <c r="AV9" s="120" t="s">
        <v>510</v>
      </c>
      <c r="AW9" s="120" t="s">
        <v>92</v>
      </c>
      <c r="AX9" s="120" t="s">
        <v>103</v>
      </c>
      <c r="AY9" s="120">
        <v>0</v>
      </c>
      <c r="AZ9" s="120">
        <v>0</v>
      </c>
      <c r="BA9" s="120" t="s">
        <v>86</v>
      </c>
      <c r="BB9" s="134" t="s">
        <v>596</v>
      </c>
      <c r="BC9" s="120" t="s">
        <v>86</v>
      </c>
    </row>
    <row r="10" spans="1:55" ht="14.25" customHeight="1">
      <c r="A10" t="str">
        <f>IFERROR(VLOOKUP(AV10,Nómina!B:E,4,0),"")</f>
        <v>DANIELA ANTONIA ALARCON ELIZALDE</v>
      </c>
      <c r="B10" t="str">
        <f>IFERROR(VLOOKUP(A10,Nómina!E:F,2,0),"")</f>
        <v>15893769-7</v>
      </c>
      <c r="C10" s="30">
        <f t="shared" si="1"/>
        <v>5042</v>
      </c>
      <c r="D10" t="str">
        <f t="shared" si="2"/>
        <v>2026-07-02</v>
      </c>
      <c r="E10" t="str">
        <f t="shared" si="3"/>
        <v>B2C</v>
      </c>
      <c r="F10" t="str">
        <f t="shared" si="4"/>
        <v>Addon</v>
      </c>
      <c r="G10" t="str">
        <f t="shared" si="5"/>
        <v>Individual</v>
      </c>
      <c r="H10" t="str">
        <f t="shared" si="6"/>
        <v>15min</v>
      </c>
      <c r="I10" t="str">
        <f t="shared" si="7"/>
        <v>Craneofacial</v>
      </c>
      <c r="J10" t="str">
        <f t="shared" si="8"/>
        <v>SANTIAGO DE CHILE</v>
      </c>
      <c r="K10" t="str">
        <f t="shared" si="9"/>
        <v>Ninguno</v>
      </c>
      <c r="L10">
        <f t="shared" si="10"/>
        <v>0</v>
      </c>
      <c r="M10">
        <f t="shared" si="11"/>
        <v>0</v>
      </c>
      <c r="N10" t="str">
        <f t="shared" si="12"/>
        <v/>
      </c>
      <c r="O10" s="10" t="str">
        <f>+VLOOKUP(Z10,listas!$B:$C,2,0)</f>
        <v>B2C</v>
      </c>
      <c r="P10" s="11">
        <f t="shared" si="0"/>
        <v>10000</v>
      </c>
      <c r="Q10" s="11">
        <f t="shared" si="13"/>
        <v>5042</v>
      </c>
      <c r="R10" s="59">
        <f t="shared" si="14"/>
        <v>7</v>
      </c>
      <c r="S10" s="59">
        <f t="shared" si="15"/>
        <v>2</v>
      </c>
      <c r="T10" s="11">
        <f t="shared" si="16"/>
        <v>1</v>
      </c>
      <c r="U10" s="135" t="s">
        <v>80</v>
      </c>
      <c r="V10" s="135" t="s">
        <v>592</v>
      </c>
      <c r="W10" s="135" t="s">
        <v>572</v>
      </c>
      <c r="X10" s="135" t="s">
        <v>572</v>
      </c>
      <c r="Y10" s="135" t="s">
        <v>525</v>
      </c>
      <c r="Z10" s="135" t="s">
        <v>98</v>
      </c>
      <c r="AA10" s="135" t="s">
        <v>99</v>
      </c>
      <c r="AB10" s="135" t="s">
        <v>4</v>
      </c>
      <c r="AC10" s="135" t="s">
        <v>93</v>
      </c>
      <c r="AD10" s="135" t="s">
        <v>83</v>
      </c>
      <c r="AE10" s="135" t="s">
        <v>94</v>
      </c>
      <c r="AF10" s="135" t="s">
        <v>96</v>
      </c>
      <c r="AG10" s="136">
        <v>10000</v>
      </c>
      <c r="AH10" s="136">
        <v>9000</v>
      </c>
      <c r="AI10" s="136">
        <v>0</v>
      </c>
      <c r="AJ10" s="136">
        <v>1000</v>
      </c>
      <c r="AK10" s="136">
        <v>6000</v>
      </c>
      <c r="AL10" s="135" t="s">
        <v>593</v>
      </c>
      <c r="AM10" s="135" t="s">
        <v>86</v>
      </c>
      <c r="AN10" s="135" t="s">
        <v>86</v>
      </c>
      <c r="AO10" s="135" t="s">
        <v>86</v>
      </c>
      <c r="AP10" s="135" t="s">
        <v>86</v>
      </c>
      <c r="AQ10" s="135" t="s">
        <v>594</v>
      </c>
      <c r="AR10" s="135" t="s">
        <v>595</v>
      </c>
      <c r="AS10" s="135" t="s">
        <v>108</v>
      </c>
      <c r="AT10" s="135" t="s">
        <v>90</v>
      </c>
      <c r="AU10" s="135" t="s">
        <v>168</v>
      </c>
      <c r="AV10" s="135" t="s">
        <v>510</v>
      </c>
      <c r="AW10" s="135" t="s">
        <v>92</v>
      </c>
      <c r="AX10" s="135" t="s">
        <v>103</v>
      </c>
      <c r="AY10" s="135">
        <v>0</v>
      </c>
      <c r="AZ10" s="135">
        <v>0</v>
      </c>
      <c r="BA10" s="135" t="s">
        <v>86</v>
      </c>
      <c r="BB10" s="137" t="s">
        <v>596</v>
      </c>
      <c r="BC10" s="135" t="s">
        <v>86</v>
      </c>
    </row>
    <row r="11" spans="1:55" ht="14.25" customHeight="1">
      <c r="A11" t="str">
        <f>IFERROR(VLOOKUP(AV11,Nómina!B:E,4,0),"")</f>
        <v>DANIELA ANTONIA ALARCON ELIZALDE</v>
      </c>
      <c r="B11" t="str">
        <f>IFERROR(VLOOKUP(A11,Nómina!E:F,2,0),"")</f>
        <v>15893769-7</v>
      </c>
      <c r="C11" s="30">
        <f t="shared" si="1"/>
        <v>3185</v>
      </c>
      <c r="D11" t="str">
        <f t="shared" si="2"/>
        <v>2026-07-02</v>
      </c>
      <c r="E11" t="str">
        <f t="shared" si="3"/>
        <v>B2C</v>
      </c>
      <c r="F11" t="str">
        <f t="shared" si="4"/>
        <v>Extra</v>
      </c>
      <c r="G11" t="str">
        <f t="shared" si="5"/>
        <v>Individual</v>
      </c>
      <c r="H11" t="str">
        <f t="shared" si="6"/>
        <v>-</v>
      </c>
      <c r="I11" t="str">
        <f t="shared" si="7"/>
        <v>Extra de transporte</v>
      </c>
      <c r="J11" t="str">
        <f t="shared" si="8"/>
        <v>SANTIAGO DE CHILE</v>
      </c>
      <c r="K11" t="str">
        <f t="shared" si="9"/>
        <v>Ninguno</v>
      </c>
      <c r="L11">
        <f t="shared" si="10"/>
        <v>0</v>
      </c>
      <c r="M11">
        <f t="shared" si="11"/>
        <v>0</v>
      </c>
      <c r="N11" t="str">
        <f t="shared" si="12"/>
        <v/>
      </c>
      <c r="O11" s="10" t="str">
        <f>+VLOOKUP(Z11,listas!$B:$C,2,0)</f>
        <v>B2C</v>
      </c>
      <c r="P11" s="11">
        <f t="shared" si="0"/>
        <v>3990</v>
      </c>
      <c r="Q11" s="11">
        <f t="shared" si="13"/>
        <v>3185</v>
      </c>
      <c r="R11" s="59">
        <f t="shared" si="14"/>
        <v>7</v>
      </c>
      <c r="S11" s="59">
        <f t="shared" si="15"/>
        <v>2</v>
      </c>
      <c r="T11" s="11">
        <f t="shared" si="16"/>
        <v>1</v>
      </c>
      <c r="U11" s="138" t="s">
        <v>80</v>
      </c>
      <c r="V11" s="138" t="s">
        <v>592</v>
      </c>
      <c r="W11" s="138" t="s">
        <v>572</v>
      </c>
      <c r="X11" s="138" t="s">
        <v>572</v>
      </c>
      <c r="Y11" s="138" t="s">
        <v>525</v>
      </c>
      <c r="Z11" s="138" t="s">
        <v>98</v>
      </c>
      <c r="AA11" s="138" t="s">
        <v>99</v>
      </c>
      <c r="AB11" s="138" t="s">
        <v>4</v>
      </c>
      <c r="AC11" s="138" t="s">
        <v>104</v>
      </c>
      <c r="AD11" s="138" t="s">
        <v>83</v>
      </c>
      <c r="AE11" s="138" t="s">
        <v>105</v>
      </c>
      <c r="AF11" s="138" t="s">
        <v>106</v>
      </c>
      <c r="AG11" s="139">
        <v>3990</v>
      </c>
      <c r="AH11" s="139">
        <v>3990</v>
      </c>
      <c r="AI11" s="139">
        <v>0</v>
      </c>
      <c r="AJ11" s="139">
        <v>0</v>
      </c>
      <c r="AK11" s="139">
        <v>3990</v>
      </c>
      <c r="AL11" s="138" t="s">
        <v>593</v>
      </c>
      <c r="AM11" s="138" t="s">
        <v>86</v>
      </c>
      <c r="AN11" s="138" t="s">
        <v>86</v>
      </c>
      <c r="AO11" s="138" t="s">
        <v>86</v>
      </c>
      <c r="AP11" s="138" t="s">
        <v>86</v>
      </c>
      <c r="AQ11" s="138" t="s">
        <v>594</v>
      </c>
      <c r="AR11" s="138" t="s">
        <v>595</v>
      </c>
      <c r="AS11" s="138" t="s">
        <v>108</v>
      </c>
      <c r="AT11" s="138" t="s">
        <v>90</v>
      </c>
      <c r="AU11" s="138" t="s">
        <v>168</v>
      </c>
      <c r="AV11" s="138" t="s">
        <v>510</v>
      </c>
      <c r="AW11" s="138" t="s">
        <v>92</v>
      </c>
      <c r="AX11" s="138" t="s">
        <v>103</v>
      </c>
      <c r="AY11" s="138">
        <v>0</v>
      </c>
      <c r="AZ11" s="138">
        <v>0</v>
      </c>
      <c r="BA11" s="138" t="s">
        <v>86</v>
      </c>
      <c r="BB11" s="140" t="s">
        <v>596</v>
      </c>
      <c r="BC11" s="138" t="s">
        <v>86</v>
      </c>
    </row>
    <row r="12" spans="1:55" ht="14.25" customHeight="1">
      <c r="A12" t="str">
        <f>IFERROR(VLOOKUP(AV12,Nómina!B:E,4,0),"")</f>
        <v>PAMELA VERONICA CID NAVIA  </v>
      </c>
      <c r="B12" t="str">
        <f>IFERROR(VLOOKUP(A12,Nómina!E:F,2,0),"")</f>
        <v>8008360-2</v>
      </c>
      <c r="C12" s="30">
        <f t="shared" si="1"/>
        <v>22689</v>
      </c>
      <c r="D12" t="str">
        <f t="shared" si="2"/>
        <v>2026-07-03</v>
      </c>
      <c r="E12" t="str">
        <f t="shared" si="3"/>
        <v>HOTEL</v>
      </c>
      <c r="F12" t="str">
        <f t="shared" si="4"/>
        <v>Masaje</v>
      </c>
      <c r="G12" t="str">
        <f t="shared" si="5"/>
        <v>Individual</v>
      </c>
      <c r="H12" t="str">
        <f t="shared" si="6"/>
        <v>60min</v>
      </c>
      <c r="I12" t="str">
        <f t="shared" si="7"/>
        <v>Relajante</v>
      </c>
      <c r="J12" t="str">
        <f t="shared" si="8"/>
        <v>VITACURA</v>
      </c>
      <c r="K12" t="str">
        <f t="shared" si="9"/>
        <v>Habitación 607</v>
      </c>
      <c r="L12">
        <f t="shared" si="10"/>
        <v>0</v>
      </c>
      <c r="M12">
        <f t="shared" si="11"/>
        <v>0</v>
      </c>
      <c r="N12" t="str">
        <f t="shared" si="12"/>
        <v/>
      </c>
      <c r="O12" s="10" t="str">
        <f>+VLOOKUP(Z12,listas!$B:$C,2,0)</f>
        <v>HOTEL</v>
      </c>
      <c r="P12" s="11">
        <f t="shared" si="0"/>
        <v>45000</v>
      </c>
      <c r="Q12" s="11">
        <f t="shared" si="13"/>
        <v>22689</v>
      </c>
      <c r="R12" s="59">
        <f t="shared" si="14"/>
        <v>7</v>
      </c>
      <c r="S12" s="59">
        <f t="shared" si="15"/>
        <v>3</v>
      </c>
      <c r="T12" s="11">
        <f t="shared" si="16"/>
        <v>1</v>
      </c>
      <c r="U12" s="120" t="s">
        <v>80</v>
      </c>
      <c r="V12" s="120" t="s">
        <v>597</v>
      </c>
      <c r="W12" s="120" t="s">
        <v>598</v>
      </c>
      <c r="X12" s="120" t="s">
        <v>598</v>
      </c>
      <c r="Y12" s="120" t="s">
        <v>525</v>
      </c>
      <c r="Z12" s="120" t="s">
        <v>5</v>
      </c>
      <c r="AA12" s="120" t="s">
        <v>81</v>
      </c>
      <c r="AB12" s="120" t="s">
        <v>5</v>
      </c>
      <c r="AC12" s="120" t="s">
        <v>82</v>
      </c>
      <c r="AD12" s="120" t="s">
        <v>83</v>
      </c>
      <c r="AE12" s="120" t="s">
        <v>84</v>
      </c>
      <c r="AF12" s="120" t="s">
        <v>85</v>
      </c>
      <c r="AG12" s="133">
        <v>45000</v>
      </c>
      <c r="AH12" s="133">
        <v>45000</v>
      </c>
      <c r="AI12" s="133">
        <v>0</v>
      </c>
      <c r="AJ12" s="133">
        <v>0</v>
      </c>
      <c r="AK12" s="133">
        <v>27000</v>
      </c>
      <c r="AL12" s="120" t="s">
        <v>86</v>
      </c>
      <c r="AM12" s="120" t="s">
        <v>86</v>
      </c>
      <c r="AN12" s="120" t="s">
        <v>86</v>
      </c>
      <c r="AO12" s="120" t="s">
        <v>86</v>
      </c>
      <c r="AP12" s="120" t="s">
        <v>86</v>
      </c>
      <c r="AQ12" s="120" t="s">
        <v>599</v>
      </c>
      <c r="AR12" s="120" t="s">
        <v>600</v>
      </c>
      <c r="AS12" s="120" t="s">
        <v>115</v>
      </c>
      <c r="AT12" s="120" t="s">
        <v>115</v>
      </c>
      <c r="AU12" s="120" t="s">
        <v>144</v>
      </c>
      <c r="AV12" s="120" t="s">
        <v>19</v>
      </c>
      <c r="AW12" s="120" t="s">
        <v>92</v>
      </c>
      <c r="AX12" s="120" t="s">
        <v>601</v>
      </c>
      <c r="AY12" s="120">
        <v>0</v>
      </c>
      <c r="AZ12" s="120">
        <v>0</v>
      </c>
      <c r="BA12" s="120" t="s">
        <v>86</v>
      </c>
      <c r="BB12" s="134" t="s">
        <v>602</v>
      </c>
      <c r="BC12" s="120" t="s">
        <v>86</v>
      </c>
    </row>
    <row r="13" spans="1:55" ht="14.25" customHeight="1">
      <c r="A13" t="str">
        <f>IFERROR(VLOOKUP(AV13,Nómina!B:E,4,0),"")</f>
        <v>PAMELA CONSTANZA HUILITRARO QUEZADA</v>
      </c>
      <c r="B13" t="str">
        <f>IFERROR(VLOOKUP(A13,Nómina!E:F,2,0),"")</f>
        <v>18881513-8</v>
      </c>
      <c r="C13" s="30">
        <f t="shared" si="1"/>
        <v>31765</v>
      </c>
      <c r="D13" t="str">
        <f t="shared" si="2"/>
        <v>2026-07-03</v>
      </c>
      <c r="E13" t="str">
        <f t="shared" si="3"/>
        <v>HOTEL</v>
      </c>
      <c r="F13" t="str">
        <f t="shared" si="4"/>
        <v>Masaje</v>
      </c>
      <c r="G13" t="str">
        <f t="shared" si="5"/>
        <v>Individual</v>
      </c>
      <c r="H13" t="str">
        <f t="shared" si="6"/>
        <v>90min</v>
      </c>
      <c r="I13" t="str">
        <f t="shared" si="7"/>
        <v>Tejido profundo</v>
      </c>
      <c r="J13" t="str">
        <f t="shared" si="8"/>
        <v>SANTIAGO DE CHILE</v>
      </c>
      <c r="K13" t="str">
        <f t="shared" si="9"/>
        <v>Huésped: Donald Moore. Hab: 706.</v>
      </c>
      <c r="L13">
        <f t="shared" si="10"/>
        <v>0</v>
      </c>
      <c r="M13">
        <f t="shared" si="11"/>
        <v>0</v>
      </c>
      <c r="N13" t="str">
        <f t="shared" si="12"/>
        <v/>
      </c>
      <c r="O13" s="10" t="str">
        <f>+VLOOKUP(Z13,listas!$B:$C,2,0)</f>
        <v>HOTEL</v>
      </c>
      <c r="P13" s="11">
        <f t="shared" si="0"/>
        <v>63000</v>
      </c>
      <c r="Q13" s="11">
        <f t="shared" si="13"/>
        <v>31765</v>
      </c>
      <c r="R13" s="59">
        <f t="shared" si="14"/>
        <v>7</v>
      </c>
      <c r="S13" s="59">
        <f t="shared" si="15"/>
        <v>3</v>
      </c>
      <c r="T13" s="11">
        <f t="shared" si="16"/>
        <v>1</v>
      </c>
      <c r="U13" s="120" t="s">
        <v>80</v>
      </c>
      <c r="V13" s="120" t="s">
        <v>603</v>
      </c>
      <c r="W13" s="120" t="s">
        <v>572</v>
      </c>
      <c r="X13" s="120" t="s">
        <v>598</v>
      </c>
      <c r="Y13" s="120" t="s">
        <v>134</v>
      </c>
      <c r="Z13" s="120" t="s">
        <v>5</v>
      </c>
      <c r="AA13" s="120" t="s">
        <v>81</v>
      </c>
      <c r="AB13" s="120" t="s">
        <v>5</v>
      </c>
      <c r="AC13" s="120" t="s">
        <v>82</v>
      </c>
      <c r="AD13" s="120" t="s">
        <v>83</v>
      </c>
      <c r="AE13" s="120" t="s">
        <v>146</v>
      </c>
      <c r="AF13" s="120" t="s">
        <v>123</v>
      </c>
      <c r="AG13" s="133">
        <v>63000</v>
      </c>
      <c r="AH13" s="133">
        <v>63000</v>
      </c>
      <c r="AI13" s="133">
        <v>0</v>
      </c>
      <c r="AJ13" s="133">
        <v>0</v>
      </c>
      <c r="AK13" s="133">
        <v>37800</v>
      </c>
      <c r="AL13" s="120" t="s">
        <v>86</v>
      </c>
      <c r="AM13" s="120" t="s">
        <v>86</v>
      </c>
      <c r="AN13" s="120" t="s">
        <v>86</v>
      </c>
      <c r="AO13" s="120" t="s">
        <v>86</v>
      </c>
      <c r="AP13" s="120" t="s">
        <v>86</v>
      </c>
      <c r="AQ13" s="120" t="s">
        <v>139</v>
      </c>
      <c r="AR13" s="120" t="s">
        <v>140</v>
      </c>
      <c r="AS13" s="120" t="s">
        <v>160</v>
      </c>
      <c r="AT13" s="120" t="s">
        <v>90</v>
      </c>
      <c r="AU13" s="120" t="s">
        <v>91</v>
      </c>
      <c r="AV13" s="120" t="s">
        <v>20</v>
      </c>
      <c r="AW13" s="120" t="s">
        <v>92</v>
      </c>
      <c r="AX13" s="120" t="s">
        <v>604</v>
      </c>
      <c r="AY13" s="120">
        <v>0</v>
      </c>
      <c r="AZ13" s="120">
        <v>0</v>
      </c>
      <c r="BA13" s="120" t="s">
        <v>86</v>
      </c>
      <c r="BB13" s="134" t="s">
        <v>605</v>
      </c>
      <c r="BC13" s="120" t="s">
        <v>86</v>
      </c>
    </row>
    <row r="14" spans="1:55" ht="14.25" customHeight="1">
      <c r="A14" t="str">
        <f>IFERROR(VLOOKUP(AV14,Nómina!B:E,4,0),"")</f>
        <v>PAMELA CONSTANZA HUILITRARO QUEZADA</v>
      </c>
      <c r="B14" t="str">
        <f>IFERROR(VLOOKUP(A14,Nómina!E:F,2,0),"")</f>
        <v>18881513-8</v>
      </c>
      <c r="C14" s="30">
        <f t="shared" si="1"/>
        <v>5042</v>
      </c>
      <c r="D14" t="str">
        <f t="shared" si="2"/>
        <v>2026-07-03</v>
      </c>
      <c r="E14" t="str">
        <f t="shared" si="3"/>
        <v>HOTEL</v>
      </c>
      <c r="F14" t="str">
        <f t="shared" si="4"/>
        <v>Addon</v>
      </c>
      <c r="G14" t="str">
        <f t="shared" si="5"/>
        <v>Individual</v>
      </c>
      <c r="H14" t="str">
        <f t="shared" si="6"/>
        <v>15min</v>
      </c>
      <c r="I14" t="str">
        <f t="shared" si="7"/>
        <v>Reflexología</v>
      </c>
      <c r="J14" t="str">
        <f t="shared" si="8"/>
        <v>SANTIAGO DE CHILE</v>
      </c>
      <c r="K14" t="str">
        <f t="shared" si="9"/>
        <v>Huésped: Donald Moore. Hab: 706.</v>
      </c>
      <c r="L14">
        <f t="shared" si="10"/>
        <v>0</v>
      </c>
      <c r="M14">
        <f t="shared" si="11"/>
        <v>0</v>
      </c>
      <c r="N14" t="str">
        <f t="shared" si="12"/>
        <v/>
      </c>
      <c r="O14" s="10" t="str">
        <f>+VLOOKUP(Z14,listas!$B:$C,2,0)</f>
        <v>HOTEL</v>
      </c>
      <c r="P14" s="11">
        <f t="shared" si="0"/>
        <v>10000</v>
      </c>
      <c r="Q14" s="11">
        <f t="shared" si="13"/>
        <v>5042</v>
      </c>
      <c r="R14" s="59">
        <f t="shared" si="14"/>
        <v>7</v>
      </c>
      <c r="S14" s="59">
        <f t="shared" si="15"/>
        <v>3</v>
      </c>
      <c r="T14" s="11">
        <f t="shared" si="16"/>
        <v>1</v>
      </c>
      <c r="U14" s="135" t="s">
        <v>80</v>
      </c>
      <c r="V14" s="135" t="s">
        <v>603</v>
      </c>
      <c r="W14" s="135" t="s">
        <v>572</v>
      </c>
      <c r="X14" s="135" t="s">
        <v>598</v>
      </c>
      <c r="Y14" s="135" t="s">
        <v>134</v>
      </c>
      <c r="Z14" s="135" t="s">
        <v>5</v>
      </c>
      <c r="AA14" s="135" t="s">
        <v>81</v>
      </c>
      <c r="AB14" s="135" t="s">
        <v>5</v>
      </c>
      <c r="AC14" s="135" t="s">
        <v>93</v>
      </c>
      <c r="AD14" s="135" t="s">
        <v>83</v>
      </c>
      <c r="AE14" s="135" t="s">
        <v>94</v>
      </c>
      <c r="AF14" s="135" t="s">
        <v>95</v>
      </c>
      <c r="AG14" s="136">
        <v>10000</v>
      </c>
      <c r="AH14" s="136">
        <v>10000</v>
      </c>
      <c r="AI14" s="136">
        <v>0</v>
      </c>
      <c r="AJ14" s="136">
        <v>0</v>
      </c>
      <c r="AK14" s="136">
        <v>6000</v>
      </c>
      <c r="AL14" s="135" t="s">
        <v>86</v>
      </c>
      <c r="AM14" s="135" t="s">
        <v>86</v>
      </c>
      <c r="AN14" s="135" t="s">
        <v>86</v>
      </c>
      <c r="AO14" s="135" t="s">
        <v>86</v>
      </c>
      <c r="AP14" s="135" t="s">
        <v>86</v>
      </c>
      <c r="AQ14" s="135" t="s">
        <v>139</v>
      </c>
      <c r="AR14" s="135" t="s">
        <v>140</v>
      </c>
      <c r="AS14" s="135" t="s">
        <v>160</v>
      </c>
      <c r="AT14" s="135" t="s">
        <v>90</v>
      </c>
      <c r="AU14" s="135" t="s">
        <v>91</v>
      </c>
      <c r="AV14" s="135" t="s">
        <v>20</v>
      </c>
      <c r="AW14" s="135" t="s">
        <v>92</v>
      </c>
      <c r="AX14" s="135" t="s">
        <v>604</v>
      </c>
      <c r="AY14" s="135">
        <v>0</v>
      </c>
      <c r="AZ14" s="135">
        <v>0</v>
      </c>
      <c r="BA14" s="135" t="s">
        <v>86</v>
      </c>
      <c r="BB14" s="137" t="s">
        <v>605</v>
      </c>
      <c r="BC14" s="135" t="s">
        <v>86</v>
      </c>
    </row>
    <row r="15" spans="1:55" ht="14.25" customHeight="1">
      <c r="A15" t="str">
        <f>IFERROR(VLOOKUP(AV15,Nómina!B:E,4,0),"")</f>
        <v>PAMELA CONSTANZA HUILITRARO QUEZADA</v>
      </c>
      <c r="B15" t="str">
        <f>IFERROR(VLOOKUP(A15,Nómina!E:F,2,0),"")</f>
        <v>18881513-8</v>
      </c>
      <c r="C15" s="30">
        <f t="shared" si="1"/>
        <v>5042</v>
      </c>
      <c r="D15" t="str">
        <f t="shared" si="2"/>
        <v>2026-07-03</v>
      </c>
      <c r="E15" t="str">
        <f t="shared" si="3"/>
        <v>HOTEL</v>
      </c>
      <c r="F15" t="str">
        <f t="shared" si="4"/>
        <v>Addon</v>
      </c>
      <c r="G15" t="str">
        <f t="shared" si="5"/>
        <v>Individual</v>
      </c>
      <c r="H15" t="str">
        <f t="shared" si="6"/>
        <v>15min</v>
      </c>
      <c r="I15" t="str">
        <f t="shared" si="7"/>
        <v>Craneofacial</v>
      </c>
      <c r="J15" t="str">
        <f t="shared" si="8"/>
        <v>SANTIAGO DE CHILE</v>
      </c>
      <c r="K15" t="str">
        <f t="shared" si="9"/>
        <v>Huésped: Donald Moore. Hab: 706.</v>
      </c>
      <c r="L15">
        <f t="shared" si="10"/>
        <v>0</v>
      </c>
      <c r="M15">
        <f t="shared" si="11"/>
        <v>0</v>
      </c>
      <c r="N15" t="str">
        <f t="shared" si="12"/>
        <v/>
      </c>
      <c r="O15" s="10" t="str">
        <f>+VLOOKUP(Z15,listas!$B:$C,2,0)</f>
        <v>HOTEL</v>
      </c>
      <c r="P15" s="11">
        <f t="shared" si="0"/>
        <v>10000</v>
      </c>
      <c r="Q15" s="11">
        <f t="shared" si="13"/>
        <v>5042</v>
      </c>
      <c r="R15" s="59">
        <f t="shared" si="14"/>
        <v>7</v>
      </c>
      <c r="S15" s="59">
        <f t="shared" si="15"/>
        <v>3</v>
      </c>
      <c r="T15" s="11">
        <f t="shared" si="16"/>
        <v>1</v>
      </c>
      <c r="U15" s="135" t="s">
        <v>80</v>
      </c>
      <c r="V15" s="135" t="s">
        <v>603</v>
      </c>
      <c r="W15" s="135" t="s">
        <v>572</v>
      </c>
      <c r="X15" s="135" t="s">
        <v>598</v>
      </c>
      <c r="Y15" s="135" t="s">
        <v>134</v>
      </c>
      <c r="Z15" s="135" t="s">
        <v>5</v>
      </c>
      <c r="AA15" s="135" t="s">
        <v>81</v>
      </c>
      <c r="AB15" s="135" t="s">
        <v>5</v>
      </c>
      <c r="AC15" s="135" t="s">
        <v>93</v>
      </c>
      <c r="AD15" s="135" t="s">
        <v>83</v>
      </c>
      <c r="AE15" s="135" t="s">
        <v>94</v>
      </c>
      <c r="AF15" s="135" t="s">
        <v>96</v>
      </c>
      <c r="AG15" s="136">
        <v>10000</v>
      </c>
      <c r="AH15" s="136">
        <v>10000</v>
      </c>
      <c r="AI15" s="136">
        <v>0</v>
      </c>
      <c r="AJ15" s="136">
        <v>0</v>
      </c>
      <c r="AK15" s="136">
        <v>6000</v>
      </c>
      <c r="AL15" s="135" t="s">
        <v>86</v>
      </c>
      <c r="AM15" s="135" t="s">
        <v>86</v>
      </c>
      <c r="AN15" s="135" t="s">
        <v>86</v>
      </c>
      <c r="AO15" s="135" t="s">
        <v>86</v>
      </c>
      <c r="AP15" s="135" t="s">
        <v>86</v>
      </c>
      <c r="AQ15" s="135" t="s">
        <v>139</v>
      </c>
      <c r="AR15" s="135" t="s">
        <v>140</v>
      </c>
      <c r="AS15" s="135" t="s">
        <v>160</v>
      </c>
      <c r="AT15" s="135" t="s">
        <v>90</v>
      </c>
      <c r="AU15" s="135" t="s">
        <v>91</v>
      </c>
      <c r="AV15" s="135" t="s">
        <v>20</v>
      </c>
      <c r="AW15" s="135" t="s">
        <v>92</v>
      </c>
      <c r="AX15" s="135" t="s">
        <v>604</v>
      </c>
      <c r="AY15" s="135">
        <v>0</v>
      </c>
      <c r="AZ15" s="135">
        <v>0</v>
      </c>
      <c r="BA15" s="135" t="s">
        <v>86</v>
      </c>
      <c r="BB15" s="137" t="s">
        <v>605</v>
      </c>
      <c r="BC15" s="135" t="s">
        <v>86</v>
      </c>
    </row>
    <row r="16" spans="1:55" ht="14.25" customHeight="1">
      <c r="A16" t="str">
        <f>IFERROR(VLOOKUP(AV16,Nómina!B:E,4,0),"")</f>
        <v>MACARENA SOFIA GONZALEZ BORQUEZ</v>
      </c>
      <c r="B16" t="str">
        <f>IFERROR(VLOOKUP(A16,Nómina!E:F,2,0),"")</f>
        <v>17325262-5</v>
      </c>
      <c r="C16" s="30">
        <f t="shared" si="1"/>
        <v>22689</v>
      </c>
      <c r="D16" t="str">
        <f t="shared" si="2"/>
        <v>2026-07-03</v>
      </c>
      <c r="E16" t="str">
        <f t="shared" si="3"/>
        <v>MARKETING</v>
      </c>
      <c r="F16" t="str">
        <f t="shared" si="4"/>
        <v>Masaje</v>
      </c>
      <c r="G16" t="str">
        <f t="shared" si="5"/>
        <v>Individual</v>
      </c>
      <c r="H16" t="str">
        <f t="shared" si="6"/>
        <v>60min</v>
      </c>
      <c r="I16" t="str">
        <f t="shared" si="7"/>
        <v>Relajante</v>
      </c>
      <c r="J16" t="str">
        <f t="shared" si="8"/>
        <v>SANTIAGO DE CHILE</v>
      </c>
      <c r="K16" t="str">
        <f t="shared" si="9"/>
        <v>Ninguno</v>
      </c>
      <c r="L16">
        <f t="shared" si="10"/>
        <v>0</v>
      </c>
      <c r="M16">
        <f t="shared" si="11"/>
        <v>0</v>
      </c>
      <c r="N16" t="str">
        <f t="shared" si="12"/>
        <v/>
      </c>
      <c r="O16" s="10" t="str">
        <f>+VLOOKUP(Z16,listas!$B:$C,2,0)</f>
        <v>MARKETING</v>
      </c>
      <c r="P16" s="11">
        <f t="shared" si="0"/>
        <v>45000</v>
      </c>
      <c r="Q16" s="11">
        <f t="shared" si="13"/>
        <v>22689</v>
      </c>
      <c r="R16" s="59">
        <f t="shared" si="14"/>
        <v>7</v>
      </c>
      <c r="S16" s="59">
        <f t="shared" si="15"/>
        <v>3</v>
      </c>
      <c r="T16" s="11">
        <f t="shared" si="16"/>
        <v>1</v>
      </c>
      <c r="U16" s="120" t="s">
        <v>80</v>
      </c>
      <c r="V16" s="120" t="s">
        <v>606</v>
      </c>
      <c r="W16" s="120" t="s">
        <v>566</v>
      </c>
      <c r="X16" s="120" t="s">
        <v>598</v>
      </c>
      <c r="Y16" s="120" t="s">
        <v>142</v>
      </c>
      <c r="Z16" s="120" t="s">
        <v>6</v>
      </c>
      <c r="AA16" s="120" t="s">
        <v>81</v>
      </c>
      <c r="AB16" s="120" t="s">
        <v>6</v>
      </c>
      <c r="AC16" s="120" t="s">
        <v>82</v>
      </c>
      <c r="AD16" s="120" t="s">
        <v>83</v>
      </c>
      <c r="AE16" s="120" t="s">
        <v>84</v>
      </c>
      <c r="AF16" s="120" t="s">
        <v>85</v>
      </c>
      <c r="AG16" s="133">
        <v>45000</v>
      </c>
      <c r="AH16" s="133">
        <v>0</v>
      </c>
      <c r="AI16" s="133">
        <v>0</v>
      </c>
      <c r="AJ16" s="133">
        <v>0</v>
      </c>
      <c r="AK16" s="133">
        <v>27000</v>
      </c>
      <c r="AL16" s="120" t="s">
        <v>86</v>
      </c>
      <c r="AM16" s="120" t="s">
        <v>86</v>
      </c>
      <c r="AN16" s="120" t="s">
        <v>86</v>
      </c>
      <c r="AO16" s="120" t="s">
        <v>86</v>
      </c>
      <c r="AP16" s="120" t="s">
        <v>86</v>
      </c>
      <c r="AQ16" s="120" t="s">
        <v>537</v>
      </c>
      <c r="AR16" s="120" t="s">
        <v>538</v>
      </c>
      <c r="AS16" s="120" t="s">
        <v>108</v>
      </c>
      <c r="AT16" s="120" t="s">
        <v>90</v>
      </c>
      <c r="AU16" s="120" t="s">
        <v>133</v>
      </c>
      <c r="AV16" s="120" t="s">
        <v>607</v>
      </c>
      <c r="AW16" s="120" t="s">
        <v>92</v>
      </c>
      <c r="AX16" s="120" t="s">
        <v>103</v>
      </c>
      <c r="AY16" s="120">
        <v>0</v>
      </c>
      <c r="AZ16" s="120">
        <v>0</v>
      </c>
      <c r="BA16" s="120" t="s">
        <v>86</v>
      </c>
      <c r="BB16" s="134" t="s">
        <v>608</v>
      </c>
      <c r="BC16" s="120" t="s">
        <v>86</v>
      </c>
    </row>
    <row r="17" spans="1:55" ht="14.25" customHeight="1">
      <c r="A17" t="str">
        <f>IFERROR(VLOOKUP(AV17,Nómina!B:E,4,0),"")</f>
        <v>MACARENA SOFIA GONZALEZ BORQUEZ</v>
      </c>
      <c r="B17" t="str">
        <f>IFERROR(VLOOKUP(A17,Nómina!E:F,2,0),"")</f>
        <v>17325262-5</v>
      </c>
      <c r="C17" s="30">
        <f t="shared" si="1"/>
        <v>3185</v>
      </c>
      <c r="D17" t="str">
        <f t="shared" si="2"/>
        <v>2026-07-03</v>
      </c>
      <c r="E17" t="str">
        <f t="shared" si="3"/>
        <v>MARKETING</v>
      </c>
      <c r="F17" t="str">
        <f t="shared" si="4"/>
        <v>Extra</v>
      </c>
      <c r="G17" t="str">
        <f t="shared" si="5"/>
        <v>Individual</v>
      </c>
      <c r="H17" t="str">
        <f t="shared" si="6"/>
        <v>-</v>
      </c>
      <c r="I17" t="str">
        <f t="shared" si="7"/>
        <v>Extra de transporte</v>
      </c>
      <c r="J17" t="str">
        <f t="shared" si="8"/>
        <v>SANTIAGO DE CHILE</v>
      </c>
      <c r="K17" t="str">
        <f t="shared" si="9"/>
        <v>Ninguno</v>
      </c>
      <c r="L17">
        <f t="shared" si="10"/>
        <v>0</v>
      </c>
      <c r="M17">
        <f t="shared" si="11"/>
        <v>0</v>
      </c>
      <c r="N17" t="str">
        <f t="shared" si="12"/>
        <v/>
      </c>
      <c r="O17" s="10" t="str">
        <f>+VLOOKUP(Z17,listas!$B:$C,2,0)</f>
        <v>MARKETING</v>
      </c>
      <c r="P17" s="11">
        <f t="shared" si="0"/>
        <v>3990</v>
      </c>
      <c r="Q17" s="11">
        <f t="shared" si="13"/>
        <v>3185</v>
      </c>
      <c r="R17" s="59">
        <f t="shared" si="14"/>
        <v>7</v>
      </c>
      <c r="S17" s="59">
        <f t="shared" si="15"/>
        <v>3</v>
      </c>
      <c r="T17" s="11">
        <f t="shared" si="16"/>
        <v>1</v>
      </c>
      <c r="U17" s="138" t="s">
        <v>80</v>
      </c>
      <c r="V17" s="138" t="s">
        <v>606</v>
      </c>
      <c r="W17" s="138" t="s">
        <v>566</v>
      </c>
      <c r="X17" s="138" t="s">
        <v>598</v>
      </c>
      <c r="Y17" s="138" t="s">
        <v>142</v>
      </c>
      <c r="Z17" s="138" t="s">
        <v>6</v>
      </c>
      <c r="AA17" s="138" t="s">
        <v>81</v>
      </c>
      <c r="AB17" s="138" t="s">
        <v>6</v>
      </c>
      <c r="AC17" s="138" t="s">
        <v>104</v>
      </c>
      <c r="AD17" s="138" t="s">
        <v>83</v>
      </c>
      <c r="AE17" s="138" t="s">
        <v>105</v>
      </c>
      <c r="AF17" s="138" t="s">
        <v>106</v>
      </c>
      <c r="AG17" s="139">
        <v>3990</v>
      </c>
      <c r="AH17" s="139">
        <v>3990</v>
      </c>
      <c r="AI17" s="139">
        <v>0</v>
      </c>
      <c r="AJ17" s="139">
        <v>0</v>
      </c>
      <c r="AK17" s="139">
        <v>3990</v>
      </c>
      <c r="AL17" s="138" t="s">
        <v>86</v>
      </c>
      <c r="AM17" s="138" t="s">
        <v>86</v>
      </c>
      <c r="AN17" s="138" t="s">
        <v>86</v>
      </c>
      <c r="AO17" s="138" t="s">
        <v>86</v>
      </c>
      <c r="AP17" s="138" t="s">
        <v>86</v>
      </c>
      <c r="AQ17" s="138" t="s">
        <v>537</v>
      </c>
      <c r="AR17" s="138" t="s">
        <v>538</v>
      </c>
      <c r="AS17" s="138" t="s">
        <v>108</v>
      </c>
      <c r="AT17" s="138" t="s">
        <v>90</v>
      </c>
      <c r="AU17" s="138" t="s">
        <v>133</v>
      </c>
      <c r="AV17" s="138" t="s">
        <v>607</v>
      </c>
      <c r="AW17" s="138" t="s">
        <v>92</v>
      </c>
      <c r="AX17" s="138" t="s">
        <v>103</v>
      </c>
      <c r="AY17" s="138">
        <v>0</v>
      </c>
      <c r="AZ17" s="138">
        <v>0</v>
      </c>
      <c r="BA17" s="138" t="s">
        <v>86</v>
      </c>
      <c r="BB17" s="140" t="s">
        <v>608</v>
      </c>
      <c r="BC17" s="138" t="s">
        <v>86</v>
      </c>
    </row>
    <row r="18" spans="1:55" ht="14.25" customHeight="1">
      <c r="A18" t="str">
        <f>IFERROR(VLOOKUP(AV18,Nómina!B:E,4,0),"")</f>
        <v>CLAUDIA ESTRELLA ESPINOZA CANIUQUEO</v>
      </c>
      <c r="B18" t="str">
        <f>IFERROR(VLOOKUP(A18,Nómina!E:F,2,0),"")</f>
        <v>13441148-1</v>
      </c>
      <c r="C18" s="30">
        <f t="shared" si="1"/>
        <v>31765</v>
      </c>
      <c r="D18" t="str">
        <f t="shared" si="2"/>
        <v>2026-07-03</v>
      </c>
      <c r="E18" t="str">
        <f t="shared" si="3"/>
        <v>B2C</v>
      </c>
      <c r="F18" t="str">
        <f t="shared" si="4"/>
        <v>Masaje</v>
      </c>
      <c r="G18" t="str">
        <f t="shared" si="5"/>
        <v>Individual</v>
      </c>
      <c r="H18" t="str">
        <f t="shared" si="6"/>
        <v>90min</v>
      </c>
      <c r="I18" t="str">
        <f t="shared" si="7"/>
        <v>Tejido profundo</v>
      </c>
      <c r="J18" t="str">
        <f t="shared" si="8"/>
        <v>SANTIAGO DE CHILE</v>
      </c>
      <c r="K18" t="str">
        <f t="shared" si="9"/>
        <v>se libera por enfermedad viral</v>
      </c>
      <c r="L18">
        <f t="shared" si="10"/>
        <v>4</v>
      </c>
      <c r="M18">
        <f t="shared" si="11"/>
        <v>5</v>
      </c>
      <c r="N18" t="str">
        <f t="shared" si="12"/>
        <v/>
      </c>
      <c r="O18" s="10" t="str">
        <f>+VLOOKUP(Z18,listas!$B:$C,2,0)</f>
        <v>B2C</v>
      </c>
      <c r="P18" s="11">
        <f t="shared" si="0"/>
        <v>63000</v>
      </c>
      <c r="Q18" s="11">
        <f t="shared" si="13"/>
        <v>31765</v>
      </c>
      <c r="R18" s="59">
        <f t="shared" si="14"/>
        <v>7</v>
      </c>
      <c r="S18" s="59">
        <f t="shared" si="15"/>
        <v>3</v>
      </c>
      <c r="T18" s="11">
        <f t="shared" si="16"/>
        <v>1</v>
      </c>
      <c r="U18" s="120" t="s">
        <v>80</v>
      </c>
      <c r="V18" s="120" t="s">
        <v>609</v>
      </c>
      <c r="W18" s="120" t="s">
        <v>560</v>
      </c>
      <c r="X18" s="120" t="s">
        <v>598</v>
      </c>
      <c r="Y18" s="120" t="s">
        <v>128</v>
      </c>
      <c r="Z18" s="120" t="s">
        <v>98</v>
      </c>
      <c r="AA18" s="120" t="s">
        <v>99</v>
      </c>
      <c r="AB18" s="120" t="s">
        <v>4</v>
      </c>
      <c r="AC18" s="120" t="s">
        <v>82</v>
      </c>
      <c r="AD18" s="120" t="s">
        <v>83</v>
      </c>
      <c r="AE18" s="120" t="s">
        <v>146</v>
      </c>
      <c r="AF18" s="120" t="s">
        <v>123</v>
      </c>
      <c r="AG18" s="133">
        <v>63000</v>
      </c>
      <c r="AH18" s="133">
        <v>63000</v>
      </c>
      <c r="AI18" s="133">
        <v>0</v>
      </c>
      <c r="AJ18" s="133">
        <v>0</v>
      </c>
      <c r="AK18" s="133">
        <v>37800</v>
      </c>
      <c r="AL18" s="120" t="s">
        <v>86</v>
      </c>
      <c r="AM18" s="120" t="s">
        <v>86</v>
      </c>
      <c r="AN18" s="120" t="s">
        <v>86</v>
      </c>
      <c r="AO18" s="120" t="s">
        <v>86</v>
      </c>
      <c r="AP18" s="120" t="s">
        <v>86</v>
      </c>
      <c r="AQ18" s="120" t="s">
        <v>610</v>
      </c>
      <c r="AR18" s="120" t="s">
        <v>611</v>
      </c>
      <c r="AS18" s="120" t="s">
        <v>160</v>
      </c>
      <c r="AT18" s="120" t="s">
        <v>90</v>
      </c>
      <c r="AU18" s="120" t="s">
        <v>136</v>
      </c>
      <c r="AV18" s="120" t="s">
        <v>8</v>
      </c>
      <c r="AW18" s="120" t="s">
        <v>92</v>
      </c>
      <c r="AX18" s="120" t="s">
        <v>612</v>
      </c>
      <c r="AY18" s="120">
        <v>4</v>
      </c>
      <c r="AZ18" s="120">
        <v>5</v>
      </c>
      <c r="BA18" s="120" t="s">
        <v>86</v>
      </c>
      <c r="BB18" s="134" t="s">
        <v>613</v>
      </c>
      <c r="BC18" s="120" t="s">
        <v>86</v>
      </c>
    </row>
    <row r="19" spans="1:55" ht="14.25" customHeight="1">
      <c r="A19" t="str">
        <f>IFERROR(VLOOKUP(AV19,Nómina!B:E,4,0),"")</f>
        <v>CLAUDIA ESTRELLA ESPINOZA CANIUQUEO</v>
      </c>
      <c r="B19" t="str">
        <f>IFERROR(VLOOKUP(A19,Nómina!E:F,2,0),"")</f>
        <v>13441148-1</v>
      </c>
      <c r="C19" s="30">
        <f t="shared" si="1"/>
        <v>6050</v>
      </c>
      <c r="D19" t="str">
        <f t="shared" si="2"/>
        <v>2026-07-03</v>
      </c>
      <c r="E19" t="str">
        <f t="shared" si="3"/>
        <v>B2C</v>
      </c>
      <c r="F19" t="str">
        <f t="shared" si="4"/>
        <v>Addon</v>
      </c>
      <c r="G19" t="str">
        <f t="shared" si="5"/>
        <v>Individual</v>
      </c>
      <c r="H19" t="str">
        <f t="shared" si="6"/>
        <v>15min</v>
      </c>
      <c r="I19" t="str">
        <f t="shared" si="7"/>
        <v>Yoga Facial</v>
      </c>
      <c r="J19" t="str">
        <f t="shared" si="8"/>
        <v>SANTIAGO DE CHILE</v>
      </c>
      <c r="K19" t="str">
        <f t="shared" si="9"/>
        <v>se libera por enfermedad viral</v>
      </c>
      <c r="L19">
        <f t="shared" si="10"/>
        <v>4</v>
      </c>
      <c r="M19">
        <f t="shared" si="11"/>
        <v>5</v>
      </c>
      <c r="N19" t="str">
        <f t="shared" si="12"/>
        <v/>
      </c>
      <c r="O19" s="10" t="str">
        <f>+VLOOKUP(Z19,listas!$B:$C,2,0)</f>
        <v>B2C</v>
      </c>
      <c r="P19" s="11">
        <f t="shared" si="0"/>
        <v>12000</v>
      </c>
      <c r="Q19" s="11">
        <f t="shared" si="13"/>
        <v>6050</v>
      </c>
      <c r="R19" s="59">
        <f t="shared" si="14"/>
        <v>7</v>
      </c>
      <c r="S19" s="59">
        <f t="shared" si="15"/>
        <v>3</v>
      </c>
      <c r="T19" s="11">
        <f t="shared" si="16"/>
        <v>1</v>
      </c>
      <c r="U19" s="135" t="s">
        <v>80</v>
      </c>
      <c r="V19" s="135" t="s">
        <v>609</v>
      </c>
      <c r="W19" s="135" t="s">
        <v>560</v>
      </c>
      <c r="X19" s="135" t="s">
        <v>598</v>
      </c>
      <c r="Y19" s="135" t="s">
        <v>128</v>
      </c>
      <c r="Z19" s="135" t="s">
        <v>98</v>
      </c>
      <c r="AA19" s="135" t="s">
        <v>99</v>
      </c>
      <c r="AB19" s="135" t="s">
        <v>4</v>
      </c>
      <c r="AC19" s="135" t="s">
        <v>93</v>
      </c>
      <c r="AD19" s="135" t="s">
        <v>83</v>
      </c>
      <c r="AE19" s="135" t="s">
        <v>94</v>
      </c>
      <c r="AF19" s="135" t="s">
        <v>113</v>
      </c>
      <c r="AG19" s="136">
        <v>12000</v>
      </c>
      <c r="AH19" s="136">
        <v>12000</v>
      </c>
      <c r="AI19" s="136">
        <v>0</v>
      </c>
      <c r="AJ19" s="136">
        <v>0</v>
      </c>
      <c r="AK19" s="136">
        <v>7200</v>
      </c>
      <c r="AL19" s="135" t="s">
        <v>86</v>
      </c>
      <c r="AM19" s="135" t="s">
        <v>86</v>
      </c>
      <c r="AN19" s="135" t="s">
        <v>86</v>
      </c>
      <c r="AO19" s="135" t="s">
        <v>86</v>
      </c>
      <c r="AP19" s="135" t="s">
        <v>86</v>
      </c>
      <c r="AQ19" s="135" t="s">
        <v>610</v>
      </c>
      <c r="AR19" s="135" t="s">
        <v>611</v>
      </c>
      <c r="AS19" s="135" t="s">
        <v>160</v>
      </c>
      <c r="AT19" s="135" t="s">
        <v>90</v>
      </c>
      <c r="AU19" s="135" t="s">
        <v>136</v>
      </c>
      <c r="AV19" s="135" t="s">
        <v>8</v>
      </c>
      <c r="AW19" s="135" t="s">
        <v>92</v>
      </c>
      <c r="AX19" s="135" t="s">
        <v>612</v>
      </c>
      <c r="AY19" s="135">
        <v>4</v>
      </c>
      <c r="AZ19" s="135">
        <v>5</v>
      </c>
      <c r="BA19" s="135" t="s">
        <v>86</v>
      </c>
      <c r="BB19" s="137" t="s">
        <v>613</v>
      </c>
      <c r="BC19" s="135" t="s">
        <v>86</v>
      </c>
    </row>
    <row r="20" spans="1:55" ht="14.25" customHeight="1">
      <c r="A20" t="str">
        <f>IFERROR(VLOOKUP(AV20,Nómina!B:E,4,0),"")</f>
        <v>CLAUDIA ESTRELLA ESPINOZA CANIUQUEO</v>
      </c>
      <c r="B20" t="str">
        <f>IFERROR(VLOOKUP(A20,Nómina!E:F,2,0),"")</f>
        <v>13441148-1</v>
      </c>
      <c r="C20" s="30">
        <f t="shared" si="1"/>
        <v>2521</v>
      </c>
      <c r="D20" t="str">
        <f t="shared" si="2"/>
        <v>2026-07-03</v>
      </c>
      <c r="E20" t="str">
        <f t="shared" si="3"/>
        <v>B2C</v>
      </c>
      <c r="F20" t="str">
        <f t="shared" si="4"/>
        <v>Extra</v>
      </c>
      <c r="G20" t="str">
        <f t="shared" si="5"/>
        <v>Individual</v>
      </c>
      <c r="H20" t="str">
        <f t="shared" si="6"/>
        <v>-</v>
      </c>
      <c r="I20" t="str">
        <f t="shared" si="7"/>
        <v>Extra por festivo o fin de semana</v>
      </c>
      <c r="J20" t="str">
        <f t="shared" si="8"/>
        <v>SANTIAGO DE CHILE</v>
      </c>
      <c r="K20" t="str">
        <f t="shared" si="9"/>
        <v>se libera por enfermedad viral</v>
      </c>
      <c r="L20">
        <f t="shared" si="10"/>
        <v>4</v>
      </c>
      <c r="M20">
        <f t="shared" si="11"/>
        <v>5</v>
      </c>
      <c r="N20" t="str">
        <f t="shared" si="12"/>
        <v/>
      </c>
      <c r="O20" s="10" t="str">
        <f>+VLOOKUP(Z20,listas!$B:$C,2,0)</f>
        <v>B2C</v>
      </c>
      <c r="P20" s="11">
        <f t="shared" si="0"/>
        <v>5000</v>
      </c>
      <c r="Q20" s="11">
        <f t="shared" si="13"/>
        <v>2521</v>
      </c>
      <c r="R20" s="59">
        <f t="shared" si="14"/>
        <v>7</v>
      </c>
      <c r="S20" s="59">
        <f t="shared" si="15"/>
        <v>3</v>
      </c>
      <c r="T20" s="11">
        <f t="shared" si="16"/>
        <v>1</v>
      </c>
      <c r="U20" s="138" t="s">
        <v>80</v>
      </c>
      <c r="V20" s="138" t="s">
        <v>609</v>
      </c>
      <c r="W20" s="138" t="s">
        <v>560</v>
      </c>
      <c r="X20" s="138" t="s">
        <v>598</v>
      </c>
      <c r="Y20" s="138" t="s">
        <v>128</v>
      </c>
      <c r="Z20" s="138" t="s">
        <v>98</v>
      </c>
      <c r="AA20" s="138" t="s">
        <v>99</v>
      </c>
      <c r="AB20" s="138" t="s">
        <v>4</v>
      </c>
      <c r="AC20" s="138" t="s">
        <v>104</v>
      </c>
      <c r="AD20" s="138" t="s">
        <v>83</v>
      </c>
      <c r="AE20" s="138" t="s">
        <v>105</v>
      </c>
      <c r="AF20" s="138" t="s">
        <v>438</v>
      </c>
      <c r="AG20" s="139">
        <v>5000</v>
      </c>
      <c r="AH20" s="139">
        <v>5000</v>
      </c>
      <c r="AI20" s="139">
        <v>0</v>
      </c>
      <c r="AJ20" s="139">
        <v>0</v>
      </c>
      <c r="AK20" s="139">
        <v>5000</v>
      </c>
      <c r="AL20" s="138" t="s">
        <v>86</v>
      </c>
      <c r="AM20" s="138" t="s">
        <v>86</v>
      </c>
      <c r="AN20" s="138" t="s">
        <v>86</v>
      </c>
      <c r="AO20" s="138" t="s">
        <v>86</v>
      </c>
      <c r="AP20" s="138" t="s">
        <v>86</v>
      </c>
      <c r="AQ20" s="138" t="s">
        <v>610</v>
      </c>
      <c r="AR20" s="138" t="s">
        <v>611</v>
      </c>
      <c r="AS20" s="138" t="s">
        <v>160</v>
      </c>
      <c r="AT20" s="138" t="s">
        <v>90</v>
      </c>
      <c r="AU20" s="138" t="s">
        <v>136</v>
      </c>
      <c r="AV20" s="138" t="s">
        <v>8</v>
      </c>
      <c r="AW20" s="138" t="s">
        <v>92</v>
      </c>
      <c r="AX20" s="138" t="s">
        <v>612</v>
      </c>
      <c r="AY20" s="138">
        <v>4</v>
      </c>
      <c r="AZ20" s="138">
        <v>5</v>
      </c>
      <c r="BA20" s="138" t="s">
        <v>86</v>
      </c>
      <c r="BB20" s="140" t="s">
        <v>613</v>
      </c>
      <c r="BC20" s="138" t="s">
        <v>86</v>
      </c>
    </row>
    <row r="21" spans="1:55" ht="14.25" customHeight="1">
      <c r="A21" t="str">
        <f>IFERROR(VLOOKUP(AV21,Nómina!B:E,4,0),"")</f>
        <v>GENESIS VALENTINA SALAZAR GUEVARA</v>
      </c>
      <c r="B21" t="str">
        <f>IFERROR(VLOOKUP(A21,Nómina!E:F,2,0),"")</f>
        <v>27828546-4</v>
      </c>
      <c r="C21" s="30">
        <f t="shared" si="1"/>
        <v>22689</v>
      </c>
      <c r="D21" t="str">
        <f t="shared" si="2"/>
        <v>2026-07-03</v>
      </c>
      <c r="E21" t="str">
        <f t="shared" si="3"/>
        <v>B2C</v>
      </c>
      <c r="F21" t="str">
        <f t="shared" si="4"/>
        <v>Masaje</v>
      </c>
      <c r="G21" t="str">
        <f t="shared" si="5"/>
        <v>Individual</v>
      </c>
      <c r="H21" t="str">
        <f t="shared" si="6"/>
        <v>60min</v>
      </c>
      <c r="I21" t="str">
        <f t="shared" si="7"/>
        <v>Tejido profundo</v>
      </c>
      <c r="J21" t="str">
        <f t="shared" si="8"/>
        <v>LAS CONDES</v>
      </c>
      <c r="K21" t="str">
        <f t="shared" si="9"/>
        <v>Ninguno</v>
      </c>
      <c r="L21">
        <f t="shared" si="10"/>
        <v>0</v>
      </c>
      <c r="M21">
        <f t="shared" si="11"/>
        <v>0</v>
      </c>
      <c r="N21" t="str">
        <f t="shared" si="12"/>
        <v/>
      </c>
      <c r="O21" s="10" t="str">
        <f>+VLOOKUP(Z21,listas!$B:$C,2,0)</f>
        <v>B2C</v>
      </c>
      <c r="P21" s="11">
        <f t="shared" si="0"/>
        <v>45000</v>
      </c>
      <c r="Q21" s="11">
        <f t="shared" si="13"/>
        <v>22689</v>
      </c>
      <c r="R21" s="59">
        <f t="shared" si="14"/>
        <v>7</v>
      </c>
      <c r="S21" s="59">
        <f t="shared" si="15"/>
        <v>3</v>
      </c>
      <c r="T21" s="11">
        <f t="shared" si="16"/>
        <v>1</v>
      </c>
      <c r="U21" s="120" t="s">
        <v>80</v>
      </c>
      <c r="V21" s="120" t="s">
        <v>614</v>
      </c>
      <c r="W21" s="120" t="s">
        <v>572</v>
      </c>
      <c r="X21" s="120" t="s">
        <v>598</v>
      </c>
      <c r="Y21" s="120" t="s">
        <v>128</v>
      </c>
      <c r="Z21" s="120" t="s">
        <v>98</v>
      </c>
      <c r="AA21" s="120" t="s">
        <v>99</v>
      </c>
      <c r="AB21" s="120" t="s">
        <v>4</v>
      </c>
      <c r="AC21" s="120" t="s">
        <v>82</v>
      </c>
      <c r="AD21" s="120" t="s">
        <v>83</v>
      </c>
      <c r="AE21" s="120" t="s">
        <v>84</v>
      </c>
      <c r="AF21" s="120" t="s">
        <v>123</v>
      </c>
      <c r="AG21" s="133">
        <v>45000</v>
      </c>
      <c r="AH21" s="133">
        <v>45000</v>
      </c>
      <c r="AI21" s="133">
        <v>0</v>
      </c>
      <c r="AJ21" s="133">
        <v>0</v>
      </c>
      <c r="AK21" s="133">
        <v>27000</v>
      </c>
      <c r="AL21" s="120" t="s">
        <v>86</v>
      </c>
      <c r="AM21" s="120" t="s">
        <v>86</v>
      </c>
      <c r="AN21" s="120" t="s">
        <v>86</v>
      </c>
      <c r="AO21" s="120" t="s">
        <v>86</v>
      </c>
      <c r="AP21" s="120" t="s">
        <v>86</v>
      </c>
      <c r="AQ21" s="120" t="s">
        <v>615</v>
      </c>
      <c r="AR21" s="120" t="s">
        <v>616</v>
      </c>
      <c r="AS21" s="120" t="s">
        <v>89</v>
      </c>
      <c r="AT21" s="120" t="s">
        <v>89</v>
      </c>
      <c r="AU21" s="120" t="s">
        <v>109</v>
      </c>
      <c r="AV21" s="120" t="s">
        <v>549</v>
      </c>
      <c r="AW21" s="120" t="s">
        <v>92</v>
      </c>
      <c r="AX21" s="120" t="s">
        <v>103</v>
      </c>
      <c r="AY21" s="120">
        <v>0</v>
      </c>
      <c r="AZ21" s="120">
        <v>0</v>
      </c>
      <c r="BA21" s="120" t="s">
        <v>86</v>
      </c>
      <c r="BB21" s="134" t="s">
        <v>617</v>
      </c>
      <c r="BC21" s="120" t="s">
        <v>86</v>
      </c>
    </row>
    <row r="22" spans="1:55" ht="14.25" customHeight="1">
      <c r="A22" t="str">
        <f>IFERROR(VLOOKUP(AV22,Nómina!B:E,4,0),"")</f>
        <v>GENESIS VALENTINA SALAZAR GUEVARA</v>
      </c>
      <c r="B22" t="str">
        <f>IFERROR(VLOOKUP(A22,Nómina!E:F,2,0),"")</f>
        <v>27828546-4</v>
      </c>
      <c r="C22" s="30">
        <f t="shared" si="1"/>
        <v>5042</v>
      </c>
      <c r="D22" t="str">
        <f t="shared" si="2"/>
        <v>2026-07-03</v>
      </c>
      <c r="E22" t="str">
        <f t="shared" si="3"/>
        <v>B2C</v>
      </c>
      <c r="F22" t="str">
        <f t="shared" si="4"/>
        <v>Addon</v>
      </c>
      <c r="G22" t="str">
        <f t="shared" si="5"/>
        <v>Individual</v>
      </c>
      <c r="H22" t="str">
        <f t="shared" si="6"/>
        <v>15min</v>
      </c>
      <c r="I22" t="str">
        <f t="shared" si="7"/>
        <v>Masaje Tiempo Extra</v>
      </c>
      <c r="J22" t="str">
        <f t="shared" si="8"/>
        <v>LAS CONDES</v>
      </c>
      <c r="K22" t="str">
        <f t="shared" si="9"/>
        <v>Ninguno</v>
      </c>
      <c r="L22">
        <f t="shared" si="10"/>
        <v>0</v>
      </c>
      <c r="M22">
        <f t="shared" si="11"/>
        <v>0</v>
      </c>
      <c r="N22" t="str">
        <f t="shared" si="12"/>
        <v/>
      </c>
      <c r="O22" s="10" t="str">
        <f>+VLOOKUP(Z22,listas!$B:$C,2,0)</f>
        <v>B2C</v>
      </c>
      <c r="P22" s="11">
        <f t="shared" si="0"/>
        <v>10000</v>
      </c>
      <c r="Q22" s="11">
        <f t="shared" si="13"/>
        <v>5042</v>
      </c>
      <c r="R22" s="59">
        <f t="shared" si="14"/>
        <v>7</v>
      </c>
      <c r="S22" s="59">
        <f t="shared" si="15"/>
        <v>3</v>
      </c>
      <c r="T22" s="11">
        <f t="shared" si="16"/>
        <v>1</v>
      </c>
      <c r="U22" s="135" t="s">
        <v>80</v>
      </c>
      <c r="V22" s="135" t="s">
        <v>614</v>
      </c>
      <c r="W22" s="135" t="s">
        <v>572</v>
      </c>
      <c r="X22" s="135" t="s">
        <v>598</v>
      </c>
      <c r="Y22" s="135" t="s">
        <v>128</v>
      </c>
      <c r="Z22" s="135" t="s">
        <v>98</v>
      </c>
      <c r="AA22" s="135" t="s">
        <v>99</v>
      </c>
      <c r="AB22" s="135" t="s">
        <v>4</v>
      </c>
      <c r="AC22" s="135" t="s">
        <v>93</v>
      </c>
      <c r="AD22" s="135" t="s">
        <v>83</v>
      </c>
      <c r="AE22" s="135" t="s">
        <v>94</v>
      </c>
      <c r="AF22" s="135" t="s">
        <v>127</v>
      </c>
      <c r="AG22" s="136">
        <v>10000</v>
      </c>
      <c r="AH22" s="136">
        <v>10000</v>
      </c>
      <c r="AI22" s="136">
        <v>0</v>
      </c>
      <c r="AJ22" s="136">
        <v>0</v>
      </c>
      <c r="AK22" s="136">
        <v>6000</v>
      </c>
      <c r="AL22" s="135" t="s">
        <v>86</v>
      </c>
      <c r="AM22" s="135" t="s">
        <v>86</v>
      </c>
      <c r="AN22" s="135" t="s">
        <v>86</v>
      </c>
      <c r="AO22" s="135" t="s">
        <v>86</v>
      </c>
      <c r="AP22" s="135" t="s">
        <v>86</v>
      </c>
      <c r="AQ22" s="135" t="s">
        <v>615</v>
      </c>
      <c r="AR22" s="135" t="s">
        <v>616</v>
      </c>
      <c r="AS22" s="135" t="s">
        <v>89</v>
      </c>
      <c r="AT22" s="135" t="s">
        <v>89</v>
      </c>
      <c r="AU22" s="135" t="s">
        <v>109</v>
      </c>
      <c r="AV22" s="135" t="s">
        <v>549</v>
      </c>
      <c r="AW22" s="135" t="s">
        <v>92</v>
      </c>
      <c r="AX22" s="135" t="s">
        <v>103</v>
      </c>
      <c r="AY22" s="135">
        <v>0</v>
      </c>
      <c r="AZ22" s="135">
        <v>0</v>
      </c>
      <c r="BA22" s="135" t="s">
        <v>86</v>
      </c>
      <c r="BB22" s="137" t="s">
        <v>617</v>
      </c>
      <c r="BC22" s="135" t="s">
        <v>86</v>
      </c>
    </row>
    <row r="23" spans="1:55" ht="14.25" customHeight="1">
      <c r="A23" t="str">
        <f>IFERROR(VLOOKUP(AV23,Nómina!B:E,4,0),"")</f>
        <v>MARIA ELIANA BENAVIDES HIGUERA </v>
      </c>
      <c r="B23" t="str">
        <f>IFERROR(VLOOKUP(A23,Nómina!E:F,2,0),"")</f>
        <v>15168787-3</v>
      </c>
      <c r="C23" s="30">
        <f t="shared" si="1"/>
        <v>22689</v>
      </c>
      <c r="D23" t="str">
        <f t="shared" si="2"/>
        <v>2026-07-03</v>
      </c>
      <c r="E23" t="str">
        <f t="shared" si="3"/>
        <v>HOTEL</v>
      </c>
      <c r="F23" t="str">
        <f t="shared" si="4"/>
        <v>Masaje</v>
      </c>
      <c r="G23" t="str">
        <f t="shared" si="5"/>
        <v>Individual</v>
      </c>
      <c r="H23" t="str">
        <f t="shared" si="6"/>
        <v>60min</v>
      </c>
      <c r="I23" t="str">
        <f t="shared" si="7"/>
        <v>Tejido profundo</v>
      </c>
      <c r="J23" t="str">
        <f t="shared" si="8"/>
        <v>LAS CONDES</v>
      </c>
      <c r="K23" t="str">
        <f t="shared" si="9"/>
        <v>Huésped: Tobias Musonda. Hab: 1012. Solicita: Benjamín Suazo.</v>
      </c>
      <c r="L23">
        <f t="shared" si="10"/>
        <v>0</v>
      </c>
      <c r="M23">
        <f t="shared" si="11"/>
        <v>0</v>
      </c>
      <c r="N23" t="str">
        <f t="shared" si="12"/>
        <v/>
      </c>
      <c r="O23" s="10" t="str">
        <f>+VLOOKUP(Z23,listas!$B:$C,2,0)</f>
        <v>HOTEL</v>
      </c>
      <c r="P23" s="11">
        <f t="shared" si="0"/>
        <v>45000</v>
      </c>
      <c r="Q23" s="11">
        <f t="shared" si="13"/>
        <v>22689</v>
      </c>
      <c r="R23" s="59">
        <f t="shared" si="14"/>
        <v>7</v>
      </c>
      <c r="S23" s="59">
        <f t="shared" si="15"/>
        <v>3</v>
      </c>
      <c r="T23" s="11">
        <f t="shared" si="16"/>
        <v>1</v>
      </c>
      <c r="U23" s="120" t="s">
        <v>80</v>
      </c>
      <c r="V23" s="120" t="s">
        <v>618</v>
      </c>
      <c r="W23" s="120" t="s">
        <v>598</v>
      </c>
      <c r="X23" s="120" t="s">
        <v>598</v>
      </c>
      <c r="Y23" s="120" t="s">
        <v>128</v>
      </c>
      <c r="Z23" s="120" t="s">
        <v>5</v>
      </c>
      <c r="AA23" s="120" t="s">
        <v>81</v>
      </c>
      <c r="AB23" s="120" t="s">
        <v>5</v>
      </c>
      <c r="AC23" s="120" t="s">
        <v>82</v>
      </c>
      <c r="AD23" s="120" t="s">
        <v>83</v>
      </c>
      <c r="AE23" s="120" t="s">
        <v>84</v>
      </c>
      <c r="AF23" s="120" t="s">
        <v>123</v>
      </c>
      <c r="AG23" s="133">
        <v>45000</v>
      </c>
      <c r="AH23" s="133">
        <v>45000</v>
      </c>
      <c r="AI23" s="133">
        <v>0</v>
      </c>
      <c r="AJ23" s="133">
        <v>0</v>
      </c>
      <c r="AK23" s="133">
        <v>27000</v>
      </c>
      <c r="AL23" s="120" t="s">
        <v>86</v>
      </c>
      <c r="AM23" s="120" t="s">
        <v>86</v>
      </c>
      <c r="AN23" s="120" t="s">
        <v>86</v>
      </c>
      <c r="AO23" s="120" t="s">
        <v>86</v>
      </c>
      <c r="AP23" s="120" t="s">
        <v>86</v>
      </c>
      <c r="AQ23" s="120" t="s">
        <v>87</v>
      </c>
      <c r="AR23" s="120" t="s">
        <v>88</v>
      </c>
      <c r="AS23" s="120" t="s">
        <v>89</v>
      </c>
      <c r="AT23" s="120" t="s">
        <v>89</v>
      </c>
      <c r="AU23" s="120" t="s">
        <v>147</v>
      </c>
      <c r="AV23" s="120" t="s">
        <v>13</v>
      </c>
      <c r="AW23" s="120" t="s">
        <v>92</v>
      </c>
      <c r="AX23" s="120" t="s">
        <v>619</v>
      </c>
      <c r="AY23" s="120">
        <v>0</v>
      </c>
      <c r="AZ23" s="120">
        <v>0</v>
      </c>
      <c r="BA23" s="120" t="s">
        <v>86</v>
      </c>
      <c r="BB23" s="134" t="s">
        <v>620</v>
      </c>
      <c r="BC23" s="120" t="s">
        <v>86</v>
      </c>
    </row>
    <row r="24" spans="1:55" ht="14.25" customHeight="1">
      <c r="A24" t="str">
        <f>IFERROR(VLOOKUP(AV24,Nómina!B:E,4,0),"")</f>
        <v>MARIA ELIANA BENAVIDES HIGUERA </v>
      </c>
      <c r="B24" t="str">
        <f>IFERROR(VLOOKUP(A24,Nómina!E:F,2,0),"")</f>
        <v>15168787-3</v>
      </c>
      <c r="C24" s="30">
        <f t="shared" si="1"/>
        <v>6050</v>
      </c>
      <c r="D24" t="str">
        <f t="shared" si="2"/>
        <v>2026-07-03</v>
      </c>
      <c r="E24" t="str">
        <f t="shared" si="3"/>
        <v>HOTEL</v>
      </c>
      <c r="F24" t="str">
        <f t="shared" si="4"/>
        <v>Addon</v>
      </c>
      <c r="G24" t="str">
        <f t="shared" si="5"/>
        <v>Individual</v>
      </c>
      <c r="H24" t="str">
        <f t="shared" si="6"/>
        <v>15min</v>
      </c>
      <c r="I24" t="str">
        <f t="shared" si="7"/>
        <v>Yoga Facial</v>
      </c>
      <c r="J24" t="str">
        <f t="shared" si="8"/>
        <v>LAS CONDES</v>
      </c>
      <c r="K24" t="str">
        <f t="shared" si="9"/>
        <v>Huésped: Tobias Musonda. Hab: 1012. Solicita: Benjamín Suazo.</v>
      </c>
      <c r="L24">
        <f t="shared" si="10"/>
        <v>0</v>
      </c>
      <c r="M24">
        <f t="shared" si="11"/>
        <v>0</v>
      </c>
      <c r="N24" t="str">
        <f t="shared" si="12"/>
        <v/>
      </c>
      <c r="O24" s="10" t="str">
        <f>+VLOOKUP(Z24,listas!$B:$C,2,0)</f>
        <v>HOTEL</v>
      </c>
      <c r="P24" s="11">
        <f t="shared" si="0"/>
        <v>12000</v>
      </c>
      <c r="Q24" s="11">
        <f t="shared" si="13"/>
        <v>6050</v>
      </c>
      <c r="R24" s="59">
        <f t="shared" si="14"/>
        <v>7</v>
      </c>
      <c r="S24" s="59">
        <f t="shared" si="15"/>
        <v>3</v>
      </c>
      <c r="T24" s="11">
        <f t="shared" si="16"/>
        <v>1</v>
      </c>
      <c r="U24" s="135" t="s">
        <v>80</v>
      </c>
      <c r="V24" s="135" t="s">
        <v>618</v>
      </c>
      <c r="W24" s="135" t="s">
        <v>598</v>
      </c>
      <c r="X24" s="135" t="s">
        <v>598</v>
      </c>
      <c r="Y24" s="135" t="s">
        <v>128</v>
      </c>
      <c r="Z24" s="135" t="s">
        <v>5</v>
      </c>
      <c r="AA24" s="135" t="s">
        <v>81</v>
      </c>
      <c r="AB24" s="135" t="s">
        <v>5</v>
      </c>
      <c r="AC24" s="135" t="s">
        <v>93</v>
      </c>
      <c r="AD24" s="135" t="s">
        <v>83</v>
      </c>
      <c r="AE24" s="135" t="s">
        <v>94</v>
      </c>
      <c r="AF24" s="135" t="s">
        <v>113</v>
      </c>
      <c r="AG24" s="136">
        <v>12000</v>
      </c>
      <c r="AH24" s="136">
        <v>12000</v>
      </c>
      <c r="AI24" s="136">
        <v>0</v>
      </c>
      <c r="AJ24" s="136">
        <v>0</v>
      </c>
      <c r="AK24" s="136">
        <v>7200</v>
      </c>
      <c r="AL24" s="135" t="s">
        <v>86</v>
      </c>
      <c r="AM24" s="135" t="s">
        <v>86</v>
      </c>
      <c r="AN24" s="135" t="s">
        <v>86</v>
      </c>
      <c r="AO24" s="135" t="s">
        <v>86</v>
      </c>
      <c r="AP24" s="135" t="s">
        <v>86</v>
      </c>
      <c r="AQ24" s="135" t="s">
        <v>87</v>
      </c>
      <c r="AR24" s="135" t="s">
        <v>88</v>
      </c>
      <c r="AS24" s="135" t="s">
        <v>89</v>
      </c>
      <c r="AT24" s="135" t="s">
        <v>89</v>
      </c>
      <c r="AU24" s="135" t="s">
        <v>147</v>
      </c>
      <c r="AV24" s="135" t="s">
        <v>13</v>
      </c>
      <c r="AW24" s="135" t="s">
        <v>92</v>
      </c>
      <c r="AX24" s="135" t="s">
        <v>619</v>
      </c>
      <c r="AY24" s="135">
        <v>0</v>
      </c>
      <c r="AZ24" s="135">
        <v>0</v>
      </c>
      <c r="BA24" s="135" t="s">
        <v>86</v>
      </c>
      <c r="BB24" s="137" t="s">
        <v>620</v>
      </c>
      <c r="BC24" s="135" t="s">
        <v>86</v>
      </c>
    </row>
    <row r="25" spans="1:55" ht="14.25" customHeight="1">
      <c r="A25" t="str">
        <f>IFERROR(VLOOKUP(AV25,Nómina!B:E,4,0),"")</f>
        <v>JOSE IGNACIO PALMA CASANOVA</v>
      </c>
      <c r="B25" t="str">
        <f>IFERROR(VLOOKUP(A25,Nómina!E:F,2,0),"")</f>
        <v>19232974-4</v>
      </c>
      <c r="C25" s="30">
        <f t="shared" si="1"/>
        <v>22689</v>
      </c>
      <c r="D25" t="str">
        <f t="shared" si="2"/>
        <v>2026-07-03</v>
      </c>
      <c r="E25" t="str">
        <f t="shared" si="3"/>
        <v>HOTEL</v>
      </c>
      <c r="F25" t="str">
        <f t="shared" si="4"/>
        <v>Masaje</v>
      </c>
      <c r="G25" t="str">
        <f t="shared" si="5"/>
        <v>Individual</v>
      </c>
      <c r="H25" t="str">
        <f t="shared" si="6"/>
        <v>60min</v>
      </c>
      <c r="I25" t="str">
        <f t="shared" si="7"/>
        <v>Relajante</v>
      </c>
      <c r="J25" t="str">
        <f t="shared" si="8"/>
        <v>LAS CONDES</v>
      </c>
      <c r="K25" t="str">
        <f t="shared" si="9"/>
        <v>Habitación 902</v>
      </c>
      <c r="L25">
        <f t="shared" si="10"/>
        <v>0</v>
      </c>
      <c r="M25">
        <f t="shared" si="11"/>
        <v>0</v>
      </c>
      <c r="N25" t="str">
        <f t="shared" si="12"/>
        <v/>
      </c>
      <c r="O25" s="10" t="str">
        <f>+VLOOKUP(Z25,listas!$B:$C,2,0)</f>
        <v>HOTEL</v>
      </c>
      <c r="P25" s="11">
        <f t="shared" si="0"/>
        <v>45000</v>
      </c>
      <c r="Q25" s="11">
        <f t="shared" si="13"/>
        <v>22689</v>
      </c>
      <c r="R25" s="59">
        <f t="shared" si="14"/>
        <v>7</v>
      </c>
      <c r="S25" s="59">
        <f t="shared" si="15"/>
        <v>3</v>
      </c>
      <c r="T25" s="11">
        <f t="shared" si="16"/>
        <v>1</v>
      </c>
      <c r="U25" s="120" t="s">
        <v>80</v>
      </c>
      <c r="V25" s="120" t="s">
        <v>621</v>
      </c>
      <c r="W25" s="120" t="s">
        <v>598</v>
      </c>
      <c r="X25" s="120" t="s">
        <v>598</v>
      </c>
      <c r="Y25" s="120" t="s">
        <v>130</v>
      </c>
      <c r="Z25" s="120" t="s">
        <v>5</v>
      </c>
      <c r="AA25" s="120" t="s">
        <v>81</v>
      </c>
      <c r="AB25" s="120" t="s">
        <v>5</v>
      </c>
      <c r="AC25" s="120" t="s">
        <v>82</v>
      </c>
      <c r="AD25" s="120" t="s">
        <v>83</v>
      </c>
      <c r="AE25" s="120" t="s">
        <v>84</v>
      </c>
      <c r="AF25" s="120" t="s">
        <v>85</v>
      </c>
      <c r="AG25" s="133">
        <v>45000</v>
      </c>
      <c r="AH25" s="133">
        <v>45000</v>
      </c>
      <c r="AI25" s="133">
        <v>0</v>
      </c>
      <c r="AJ25" s="133">
        <v>0</v>
      </c>
      <c r="AK25" s="133">
        <v>27000</v>
      </c>
      <c r="AL25" s="120" t="s">
        <v>86</v>
      </c>
      <c r="AM25" s="120" t="s">
        <v>86</v>
      </c>
      <c r="AN25" s="120" t="s">
        <v>86</v>
      </c>
      <c r="AO25" s="120" t="s">
        <v>86</v>
      </c>
      <c r="AP25" s="120" t="s">
        <v>86</v>
      </c>
      <c r="AQ25" s="120" t="s">
        <v>87</v>
      </c>
      <c r="AR25" s="120" t="s">
        <v>88</v>
      </c>
      <c r="AS25" s="120" t="s">
        <v>89</v>
      </c>
      <c r="AT25" s="120" t="s">
        <v>89</v>
      </c>
      <c r="AU25" s="120" t="s">
        <v>158</v>
      </c>
      <c r="AV25" s="120" t="s">
        <v>282</v>
      </c>
      <c r="AW25" s="120" t="s">
        <v>92</v>
      </c>
      <c r="AX25" s="120" t="s">
        <v>622</v>
      </c>
      <c r="AY25" s="120">
        <v>0</v>
      </c>
      <c r="AZ25" s="120">
        <v>0</v>
      </c>
      <c r="BA25" s="120" t="s">
        <v>86</v>
      </c>
      <c r="BB25" s="134" t="s">
        <v>623</v>
      </c>
      <c r="BC25" s="120" t="s">
        <v>86</v>
      </c>
    </row>
    <row r="26" spans="1:55" ht="14.25" customHeight="1">
      <c r="A26" t="str">
        <f>IFERROR(VLOOKUP(AV26,Nómina!B:E,4,0),"")</f>
        <v>JOSE IGNACIO PALMA CASANOVA</v>
      </c>
      <c r="B26" t="str">
        <f>IFERROR(VLOOKUP(A26,Nómina!E:F,2,0),"")</f>
        <v>19232974-4</v>
      </c>
      <c r="C26" s="30">
        <f t="shared" si="1"/>
        <v>5042</v>
      </c>
      <c r="D26" t="str">
        <f t="shared" si="2"/>
        <v>2026-07-03</v>
      </c>
      <c r="E26" t="str">
        <f t="shared" si="3"/>
        <v>HOTEL</v>
      </c>
      <c r="F26" t="str">
        <f t="shared" si="4"/>
        <v>Addon</v>
      </c>
      <c r="G26" t="str">
        <f t="shared" si="5"/>
        <v>Individual</v>
      </c>
      <c r="H26" t="str">
        <f t="shared" si="6"/>
        <v>15min</v>
      </c>
      <c r="I26" t="str">
        <f t="shared" si="7"/>
        <v>Reflexología</v>
      </c>
      <c r="J26" t="str">
        <f t="shared" si="8"/>
        <v>LAS CONDES</v>
      </c>
      <c r="K26" t="str">
        <f t="shared" si="9"/>
        <v>Habitación 902</v>
      </c>
      <c r="L26">
        <f t="shared" si="10"/>
        <v>0</v>
      </c>
      <c r="M26">
        <f t="shared" si="11"/>
        <v>0</v>
      </c>
      <c r="N26" t="str">
        <f t="shared" si="12"/>
        <v/>
      </c>
      <c r="O26" s="10" t="str">
        <f>+VLOOKUP(Z26,listas!$B:$C,2,0)</f>
        <v>HOTEL</v>
      </c>
      <c r="P26" s="11">
        <f t="shared" si="0"/>
        <v>10000</v>
      </c>
      <c r="Q26" s="11">
        <f t="shared" si="13"/>
        <v>5042</v>
      </c>
      <c r="R26" s="59">
        <f t="shared" si="14"/>
        <v>7</v>
      </c>
      <c r="S26" s="59">
        <f t="shared" si="15"/>
        <v>3</v>
      </c>
      <c r="T26" s="11">
        <f t="shared" si="16"/>
        <v>1</v>
      </c>
      <c r="U26" s="135" t="s">
        <v>80</v>
      </c>
      <c r="V26" s="135" t="s">
        <v>621</v>
      </c>
      <c r="W26" s="135" t="s">
        <v>598</v>
      </c>
      <c r="X26" s="135" t="s">
        <v>598</v>
      </c>
      <c r="Y26" s="135" t="s">
        <v>130</v>
      </c>
      <c r="Z26" s="135" t="s">
        <v>5</v>
      </c>
      <c r="AA26" s="135" t="s">
        <v>81</v>
      </c>
      <c r="AB26" s="135" t="s">
        <v>5</v>
      </c>
      <c r="AC26" s="135" t="s">
        <v>93</v>
      </c>
      <c r="AD26" s="135" t="s">
        <v>83</v>
      </c>
      <c r="AE26" s="135" t="s">
        <v>94</v>
      </c>
      <c r="AF26" s="135" t="s">
        <v>95</v>
      </c>
      <c r="AG26" s="136">
        <v>10000</v>
      </c>
      <c r="AH26" s="136">
        <v>10000</v>
      </c>
      <c r="AI26" s="136">
        <v>0</v>
      </c>
      <c r="AJ26" s="136">
        <v>0</v>
      </c>
      <c r="AK26" s="136">
        <v>6000</v>
      </c>
      <c r="AL26" s="135" t="s">
        <v>86</v>
      </c>
      <c r="AM26" s="135" t="s">
        <v>86</v>
      </c>
      <c r="AN26" s="135" t="s">
        <v>86</v>
      </c>
      <c r="AO26" s="135" t="s">
        <v>86</v>
      </c>
      <c r="AP26" s="135" t="s">
        <v>86</v>
      </c>
      <c r="AQ26" s="135" t="s">
        <v>87</v>
      </c>
      <c r="AR26" s="135" t="s">
        <v>88</v>
      </c>
      <c r="AS26" s="135" t="s">
        <v>89</v>
      </c>
      <c r="AT26" s="135" t="s">
        <v>89</v>
      </c>
      <c r="AU26" s="135" t="s">
        <v>158</v>
      </c>
      <c r="AV26" s="135" t="s">
        <v>282</v>
      </c>
      <c r="AW26" s="135" t="s">
        <v>92</v>
      </c>
      <c r="AX26" s="135" t="s">
        <v>622</v>
      </c>
      <c r="AY26" s="135">
        <v>0</v>
      </c>
      <c r="AZ26" s="135">
        <v>0</v>
      </c>
      <c r="BA26" s="135" t="s">
        <v>86</v>
      </c>
      <c r="BB26" s="137" t="s">
        <v>623</v>
      </c>
      <c r="BC26" s="135" t="s">
        <v>86</v>
      </c>
    </row>
    <row r="27" spans="1:55" ht="14.25" customHeight="1">
      <c r="A27" t="str">
        <f>IFERROR(VLOOKUP(AV27,Nómina!B:E,4,0),"")</f>
        <v>JOSE IGNACIO PALMA CASANOVA</v>
      </c>
      <c r="B27" t="str">
        <f>IFERROR(VLOOKUP(A27,Nómina!E:F,2,0),"")</f>
        <v>19232974-4</v>
      </c>
      <c r="C27" s="30">
        <f t="shared" si="1"/>
        <v>5042</v>
      </c>
      <c r="D27" t="str">
        <f t="shared" si="2"/>
        <v>2026-07-03</v>
      </c>
      <c r="E27" t="str">
        <f t="shared" si="3"/>
        <v>HOTEL</v>
      </c>
      <c r="F27" t="str">
        <f t="shared" si="4"/>
        <v>Addon</v>
      </c>
      <c r="G27" t="str">
        <f t="shared" si="5"/>
        <v>Individual</v>
      </c>
      <c r="H27" t="str">
        <f t="shared" si="6"/>
        <v>15min</v>
      </c>
      <c r="I27" t="str">
        <f t="shared" si="7"/>
        <v>Craneofacial</v>
      </c>
      <c r="J27" t="str">
        <f t="shared" si="8"/>
        <v>LAS CONDES</v>
      </c>
      <c r="K27" t="str">
        <f t="shared" si="9"/>
        <v>Habitación 902</v>
      </c>
      <c r="L27">
        <f t="shared" si="10"/>
        <v>0</v>
      </c>
      <c r="M27">
        <f t="shared" si="11"/>
        <v>0</v>
      </c>
      <c r="N27" t="str">
        <f t="shared" si="12"/>
        <v/>
      </c>
      <c r="O27" s="10" t="str">
        <f>+VLOOKUP(Z27,listas!$B:$C,2,0)</f>
        <v>HOTEL</v>
      </c>
      <c r="P27" s="11">
        <f t="shared" si="0"/>
        <v>10000</v>
      </c>
      <c r="Q27" s="11">
        <f t="shared" si="13"/>
        <v>5042</v>
      </c>
      <c r="R27" s="59">
        <f t="shared" si="14"/>
        <v>7</v>
      </c>
      <c r="S27" s="59">
        <f t="shared" si="15"/>
        <v>3</v>
      </c>
      <c r="T27" s="11">
        <f t="shared" si="16"/>
        <v>1</v>
      </c>
      <c r="U27" s="135" t="s">
        <v>80</v>
      </c>
      <c r="V27" s="135" t="s">
        <v>621</v>
      </c>
      <c r="W27" s="135" t="s">
        <v>598</v>
      </c>
      <c r="X27" s="135" t="s">
        <v>598</v>
      </c>
      <c r="Y27" s="135" t="s">
        <v>130</v>
      </c>
      <c r="Z27" s="135" t="s">
        <v>5</v>
      </c>
      <c r="AA27" s="135" t="s">
        <v>81</v>
      </c>
      <c r="AB27" s="135" t="s">
        <v>5</v>
      </c>
      <c r="AC27" s="135" t="s">
        <v>93</v>
      </c>
      <c r="AD27" s="135" t="s">
        <v>83</v>
      </c>
      <c r="AE27" s="135" t="s">
        <v>94</v>
      </c>
      <c r="AF27" s="135" t="s">
        <v>96</v>
      </c>
      <c r="AG27" s="136">
        <v>10000</v>
      </c>
      <c r="AH27" s="136">
        <v>10000</v>
      </c>
      <c r="AI27" s="136">
        <v>0</v>
      </c>
      <c r="AJ27" s="136">
        <v>0</v>
      </c>
      <c r="AK27" s="136">
        <v>6000</v>
      </c>
      <c r="AL27" s="135" t="s">
        <v>86</v>
      </c>
      <c r="AM27" s="135" t="s">
        <v>86</v>
      </c>
      <c r="AN27" s="135" t="s">
        <v>86</v>
      </c>
      <c r="AO27" s="135" t="s">
        <v>86</v>
      </c>
      <c r="AP27" s="135" t="s">
        <v>86</v>
      </c>
      <c r="AQ27" s="135" t="s">
        <v>87</v>
      </c>
      <c r="AR27" s="135" t="s">
        <v>88</v>
      </c>
      <c r="AS27" s="135" t="s">
        <v>89</v>
      </c>
      <c r="AT27" s="135" t="s">
        <v>89</v>
      </c>
      <c r="AU27" s="135" t="s">
        <v>158</v>
      </c>
      <c r="AV27" s="135" t="s">
        <v>282</v>
      </c>
      <c r="AW27" s="135" t="s">
        <v>92</v>
      </c>
      <c r="AX27" s="135" t="s">
        <v>622</v>
      </c>
      <c r="AY27" s="135">
        <v>0</v>
      </c>
      <c r="AZ27" s="135">
        <v>0</v>
      </c>
      <c r="BA27" s="135" t="s">
        <v>86</v>
      </c>
      <c r="BB27" s="137" t="s">
        <v>623</v>
      </c>
      <c r="BC27" s="135" t="s">
        <v>86</v>
      </c>
    </row>
    <row r="28" spans="1:55" ht="14.25" customHeight="1">
      <c r="A28" t="str">
        <f>IFERROR(VLOOKUP(AV28,Nómina!B:E,4,0),"")</f>
        <v>PAMELA VERONICA CID NAVIA  </v>
      </c>
      <c r="B28" t="str">
        <f>IFERROR(VLOOKUP(A28,Nómina!E:F,2,0),"")</f>
        <v>8008360-2</v>
      </c>
      <c r="C28" s="30">
        <f t="shared" si="1"/>
        <v>22689</v>
      </c>
      <c r="D28" t="str">
        <f t="shared" si="2"/>
        <v>2026-07-03</v>
      </c>
      <c r="E28" t="str">
        <f t="shared" si="3"/>
        <v>B2C</v>
      </c>
      <c r="F28" t="str">
        <f t="shared" si="4"/>
        <v>Masaje</v>
      </c>
      <c r="G28" t="str">
        <f t="shared" si="5"/>
        <v>Individual</v>
      </c>
      <c r="H28" t="str">
        <f t="shared" si="6"/>
        <v>60min</v>
      </c>
      <c r="I28" t="str">
        <f t="shared" si="7"/>
        <v>Tejido profundo</v>
      </c>
      <c r="J28" t="str">
        <f t="shared" si="8"/>
        <v>ZONA CORDILLERANA</v>
      </c>
      <c r="K28" t="str">
        <f t="shared" si="9"/>
        <v>Ninguno</v>
      </c>
      <c r="L28">
        <f t="shared" si="10"/>
        <v>5</v>
      </c>
      <c r="M28">
        <f t="shared" si="11"/>
        <v>5</v>
      </c>
      <c r="N28" t="str">
        <f t="shared" si="12"/>
        <v/>
      </c>
      <c r="O28" s="10" t="str">
        <f>+VLOOKUP(Z28,listas!$B:$C,2,0)</f>
        <v>B2C</v>
      </c>
      <c r="P28" s="11">
        <f t="shared" si="0"/>
        <v>45000</v>
      </c>
      <c r="Q28" s="11">
        <f t="shared" si="13"/>
        <v>22689</v>
      </c>
      <c r="R28" s="59">
        <f t="shared" si="14"/>
        <v>7</v>
      </c>
      <c r="S28" s="59">
        <f t="shared" si="15"/>
        <v>3</v>
      </c>
      <c r="T28" s="11">
        <f t="shared" si="16"/>
        <v>1</v>
      </c>
      <c r="U28" s="120" t="s">
        <v>80</v>
      </c>
      <c r="V28" s="120" t="s">
        <v>624</v>
      </c>
      <c r="W28" s="120" t="s">
        <v>598</v>
      </c>
      <c r="X28" s="120" t="s">
        <v>598</v>
      </c>
      <c r="Y28" s="120" t="s">
        <v>130</v>
      </c>
      <c r="Z28" s="120" t="s">
        <v>98</v>
      </c>
      <c r="AA28" s="120" t="s">
        <v>99</v>
      </c>
      <c r="AB28" s="120" t="s">
        <v>4</v>
      </c>
      <c r="AC28" s="120" t="s">
        <v>82</v>
      </c>
      <c r="AD28" s="120" t="s">
        <v>83</v>
      </c>
      <c r="AE28" s="120" t="s">
        <v>84</v>
      </c>
      <c r="AF28" s="120" t="s">
        <v>123</v>
      </c>
      <c r="AG28" s="133">
        <v>45000</v>
      </c>
      <c r="AH28" s="133">
        <v>45000</v>
      </c>
      <c r="AI28" s="133">
        <v>0</v>
      </c>
      <c r="AJ28" s="133">
        <v>0</v>
      </c>
      <c r="AK28" s="133">
        <v>27000</v>
      </c>
      <c r="AL28" s="120" t="s">
        <v>86</v>
      </c>
      <c r="AM28" s="120" t="s">
        <v>86</v>
      </c>
      <c r="AN28" s="120" t="s">
        <v>86</v>
      </c>
      <c r="AO28" s="120" t="s">
        <v>86</v>
      </c>
      <c r="AP28" s="120" t="s">
        <v>86</v>
      </c>
      <c r="AQ28" s="120" t="s">
        <v>542</v>
      </c>
      <c r="AR28" s="120" t="s">
        <v>543</v>
      </c>
      <c r="AS28" s="120" t="s">
        <v>443</v>
      </c>
      <c r="AT28" s="120" t="s">
        <v>443</v>
      </c>
      <c r="AU28" s="120" t="s">
        <v>144</v>
      </c>
      <c r="AV28" s="120" t="s">
        <v>19</v>
      </c>
      <c r="AW28" s="120" t="s">
        <v>92</v>
      </c>
      <c r="AX28" s="120" t="s">
        <v>103</v>
      </c>
      <c r="AY28" s="120">
        <v>5</v>
      </c>
      <c r="AZ28" s="120">
        <v>5</v>
      </c>
      <c r="BA28" s="120" t="s">
        <v>86</v>
      </c>
      <c r="BB28" s="134" t="s">
        <v>625</v>
      </c>
      <c r="BC28" s="120" t="s">
        <v>86</v>
      </c>
    </row>
    <row r="29" spans="1:55" ht="14.25" customHeight="1">
      <c r="A29" t="str">
        <f>IFERROR(VLOOKUP(AV29,Nómina!B:E,4,0),"")</f>
        <v>PAMELA VERONICA CID NAVIA  </v>
      </c>
      <c r="B29" t="str">
        <f>IFERROR(VLOOKUP(A29,Nómina!E:F,2,0),"")</f>
        <v>8008360-2</v>
      </c>
      <c r="C29" s="30">
        <f t="shared" si="1"/>
        <v>3185</v>
      </c>
      <c r="D29" t="str">
        <f t="shared" si="2"/>
        <v>2026-07-03</v>
      </c>
      <c r="E29" t="str">
        <f t="shared" si="3"/>
        <v>B2C</v>
      </c>
      <c r="F29" t="str">
        <f t="shared" si="4"/>
        <v>Extra</v>
      </c>
      <c r="G29" t="str">
        <f t="shared" si="5"/>
        <v>Individual</v>
      </c>
      <c r="H29" t="str">
        <f t="shared" si="6"/>
        <v>-</v>
      </c>
      <c r="I29" t="str">
        <f t="shared" si="7"/>
        <v>Extra de transporte</v>
      </c>
      <c r="J29" t="str">
        <f t="shared" si="8"/>
        <v>ZONA CORDILLERANA</v>
      </c>
      <c r="K29" t="str">
        <f t="shared" si="9"/>
        <v>Ninguno</v>
      </c>
      <c r="L29">
        <f t="shared" si="10"/>
        <v>5</v>
      </c>
      <c r="M29">
        <f t="shared" si="11"/>
        <v>5</v>
      </c>
      <c r="N29" t="str">
        <f t="shared" si="12"/>
        <v/>
      </c>
      <c r="O29" s="10" t="str">
        <f>+VLOOKUP(Z29,listas!$B:$C,2,0)</f>
        <v>B2C</v>
      </c>
      <c r="P29" s="11">
        <f t="shared" si="0"/>
        <v>3990</v>
      </c>
      <c r="Q29" s="11">
        <f t="shared" si="13"/>
        <v>3185</v>
      </c>
      <c r="R29" s="59">
        <f t="shared" si="14"/>
        <v>7</v>
      </c>
      <c r="S29" s="59">
        <f t="shared" si="15"/>
        <v>3</v>
      </c>
      <c r="T29" s="11">
        <f t="shared" si="16"/>
        <v>1</v>
      </c>
      <c r="U29" s="138" t="s">
        <v>80</v>
      </c>
      <c r="V29" s="138" t="s">
        <v>624</v>
      </c>
      <c r="W29" s="138" t="s">
        <v>598</v>
      </c>
      <c r="X29" s="138" t="s">
        <v>598</v>
      </c>
      <c r="Y29" s="138" t="s">
        <v>130</v>
      </c>
      <c r="Z29" s="138" t="s">
        <v>98</v>
      </c>
      <c r="AA29" s="138" t="s">
        <v>99</v>
      </c>
      <c r="AB29" s="138" t="s">
        <v>4</v>
      </c>
      <c r="AC29" s="138" t="s">
        <v>104</v>
      </c>
      <c r="AD29" s="138" t="s">
        <v>83</v>
      </c>
      <c r="AE29" s="138" t="s">
        <v>105</v>
      </c>
      <c r="AF29" s="138" t="s">
        <v>106</v>
      </c>
      <c r="AG29" s="139">
        <v>3990</v>
      </c>
      <c r="AH29" s="139">
        <v>3990</v>
      </c>
      <c r="AI29" s="139">
        <v>0</v>
      </c>
      <c r="AJ29" s="139">
        <v>0</v>
      </c>
      <c r="AK29" s="139">
        <v>3990</v>
      </c>
      <c r="AL29" s="138" t="s">
        <v>86</v>
      </c>
      <c r="AM29" s="138" t="s">
        <v>86</v>
      </c>
      <c r="AN29" s="138" t="s">
        <v>86</v>
      </c>
      <c r="AO29" s="138" t="s">
        <v>86</v>
      </c>
      <c r="AP29" s="138" t="s">
        <v>86</v>
      </c>
      <c r="AQ29" s="138" t="s">
        <v>542</v>
      </c>
      <c r="AR29" s="138" t="s">
        <v>543</v>
      </c>
      <c r="AS29" s="138" t="s">
        <v>443</v>
      </c>
      <c r="AT29" s="138" t="s">
        <v>443</v>
      </c>
      <c r="AU29" s="138" t="s">
        <v>144</v>
      </c>
      <c r="AV29" s="138" t="s">
        <v>19</v>
      </c>
      <c r="AW29" s="138" t="s">
        <v>92</v>
      </c>
      <c r="AX29" s="138" t="s">
        <v>103</v>
      </c>
      <c r="AY29" s="138">
        <v>5</v>
      </c>
      <c r="AZ29" s="138">
        <v>5</v>
      </c>
      <c r="BA29" s="138" t="s">
        <v>86</v>
      </c>
      <c r="BB29" s="140" t="s">
        <v>625</v>
      </c>
      <c r="BC29" s="138" t="s">
        <v>86</v>
      </c>
    </row>
    <row r="30" spans="1:55" ht="14.25" customHeight="1">
      <c r="A30" t="str">
        <f>IFERROR(VLOOKUP(AV30,Nómina!B:E,4,0),"")</f>
        <v>ALEJANDRA PAZ SANCHEZ LENERO</v>
      </c>
      <c r="B30" t="str">
        <f>IFERROR(VLOOKUP(A30,Nómina!E:F,2,0),"")</f>
        <v>13715658-K</v>
      </c>
      <c r="C30" s="30">
        <f t="shared" si="1"/>
        <v>31765</v>
      </c>
      <c r="D30" t="str">
        <f t="shared" si="2"/>
        <v>2026-07-03</v>
      </c>
      <c r="E30" t="str">
        <f t="shared" si="3"/>
        <v>HOTEL</v>
      </c>
      <c r="F30" t="str">
        <f t="shared" si="4"/>
        <v>Masaje</v>
      </c>
      <c r="G30" t="str">
        <f t="shared" si="5"/>
        <v>Individual</v>
      </c>
      <c r="H30" t="str">
        <f t="shared" si="6"/>
        <v>90min</v>
      </c>
      <c r="I30" t="str">
        <f t="shared" si="7"/>
        <v>Relajante</v>
      </c>
      <c r="J30" t="str">
        <f t="shared" si="8"/>
        <v>LAS CONDES</v>
      </c>
      <c r="K30" t="str">
        <f t="shared" si="9"/>
        <v>Huésped: Jazmin Wakelin. Hab: 1001. Solicita: Valentina Catalán.</v>
      </c>
      <c r="L30">
        <f t="shared" si="10"/>
        <v>0</v>
      </c>
      <c r="M30">
        <f t="shared" si="11"/>
        <v>0</v>
      </c>
      <c r="N30" t="str">
        <f t="shared" si="12"/>
        <v/>
      </c>
      <c r="O30" s="10" t="str">
        <f>+VLOOKUP(Z30,listas!$B:$C,2,0)</f>
        <v>HOTEL</v>
      </c>
      <c r="P30" s="11">
        <f t="shared" si="0"/>
        <v>63000</v>
      </c>
      <c r="Q30" s="11">
        <f t="shared" si="13"/>
        <v>31765</v>
      </c>
      <c r="R30" s="59">
        <f t="shared" si="14"/>
        <v>7</v>
      </c>
      <c r="S30" s="59">
        <f t="shared" si="15"/>
        <v>3</v>
      </c>
      <c r="T30" s="11">
        <f t="shared" si="16"/>
        <v>1</v>
      </c>
      <c r="U30" s="120" t="s">
        <v>80</v>
      </c>
      <c r="V30" s="120" t="s">
        <v>626</v>
      </c>
      <c r="W30" s="120" t="s">
        <v>598</v>
      </c>
      <c r="X30" s="120" t="s">
        <v>598</v>
      </c>
      <c r="Y30" s="120" t="s">
        <v>130</v>
      </c>
      <c r="Z30" s="120" t="s">
        <v>5</v>
      </c>
      <c r="AA30" s="120" t="s">
        <v>81</v>
      </c>
      <c r="AB30" s="120" t="s">
        <v>5</v>
      </c>
      <c r="AC30" s="120" t="s">
        <v>82</v>
      </c>
      <c r="AD30" s="120" t="s">
        <v>83</v>
      </c>
      <c r="AE30" s="120" t="s">
        <v>146</v>
      </c>
      <c r="AF30" s="120" t="s">
        <v>85</v>
      </c>
      <c r="AG30" s="133">
        <v>63000</v>
      </c>
      <c r="AH30" s="133">
        <v>63000</v>
      </c>
      <c r="AI30" s="133">
        <v>0</v>
      </c>
      <c r="AJ30" s="133">
        <v>0</v>
      </c>
      <c r="AK30" s="133">
        <v>37800</v>
      </c>
      <c r="AL30" s="120" t="s">
        <v>86</v>
      </c>
      <c r="AM30" s="120" t="s">
        <v>86</v>
      </c>
      <c r="AN30" s="120" t="s">
        <v>86</v>
      </c>
      <c r="AO30" s="120" t="s">
        <v>86</v>
      </c>
      <c r="AP30" s="120" t="s">
        <v>86</v>
      </c>
      <c r="AQ30" s="120" t="s">
        <v>87</v>
      </c>
      <c r="AR30" s="120" t="s">
        <v>88</v>
      </c>
      <c r="AS30" s="120" t="s">
        <v>89</v>
      </c>
      <c r="AT30" s="120" t="s">
        <v>89</v>
      </c>
      <c r="AU30" s="120" t="s">
        <v>154</v>
      </c>
      <c r="AV30" s="120" t="s">
        <v>511</v>
      </c>
      <c r="AW30" s="120" t="s">
        <v>92</v>
      </c>
      <c r="AX30" s="120" t="s">
        <v>627</v>
      </c>
      <c r="AY30" s="120">
        <v>0</v>
      </c>
      <c r="AZ30" s="120">
        <v>0</v>
      </c>
      <c r="BA30" s="120" t="s">
        <v>86</v>
      </c>
      <c r="BB30" s="134" t="s">
        <v>628</v>
      </c>
      <c r="BC30" s="120" t="s">
        <v>86</v>
      </c>
    </row>
    <row r="31" spans="1:55" ht="14.25" customHeight="1">
      <c r="A31" t="str">
        <f>IFERROR(VLOOKUP(AV31,Nómina!B:E,4,0),"")</f>
        <v>ALEJANDRA PAZ SANCHEZ LENERO</v>
      </c>
      <c r="B31" t="str">
        <f>IFERROR(VLOOKUP(A31,Nómina!E:F,2,0),"")</f>
        <v>13715658-K</v>
      </c>
      <c r="C31" s="30">
        <f t="shared" si="1"/>
        <v>6050</v>
      </c>
      <c r="D31" t="str">
        <f t="shared" si="2"/>
        <v>2026-07-03</v>
      </c>
      <c r="E31" t="str">
        <f t="shared" si="3"/>
        <v>HOTEL</v>
      </c>
      <c r="F31" t="str">
        <f t="shared" si="4"/>
        <v>Addon</v>
      </c>
      <c r="G31" t="str">
        <f t="shared" si="5"/>
        <v>Individual</v>
      </c>
      <c r="H31" t="str">
        <f t="shared" si="6"/>
        <v>15min</v>
      </c>
      <c r="I31" t="str">
        <f t="shared" si="7"/>
        <v>Yoga Facial</v>
      </c>
      <c r="J31" t="str">
        <f t="shared" si="8"/>
        <v>LAS CONDES</v>
      </c>
      <c r="K31" t="str">
        <f t="shared" si="9"/>
        <v>Huésped: Jazmin Wakelin. Hab: 1001. Solicita: Valentina Catalán.</v>
      </c>
      <c r="L31">
        <f t="shared" si="10"/>
        <v>0</v>
      </c>
      <c r="M31">
        <f t="shared" si="11"/>
        <v>0</v>
      </c>
      <c r="N31" t="str">
        <f t="shared" si="12"/>
        <v/>
      </c>
      <c r="O31" s="10" t="str">
        <f>+VLOOKUP(Z31,listas!$B:$C,2,0)</f>
        <v>HOTEL</v>
      </c>
      <c r="P31" s="11">
        <f t="shared" si="0"/>
        <v>12000</v>
      </c>
      <c r="Q31" s="11">
        <f t="shared" si="13"/>
        <v>6050</v>
      </c>
      <c r="R31" s="59">
        <f t="shared" si="14"/>
        <v>7</v>
      </c>
      <c r="S31" s="59">
        <f t="shared" si="15"/>
        <v>3</v>
      </c>
      <c r="T31" s="11">
        <f t="shared" si="16"/>
        <v>1</v>
      </c>
      <c r="U31" s="135" t="s">
        <v>80</v>
      </c>
      <c r="V31" s="135" t="s">
        <v>626</v>
      </c>
      <c r="W31" s="135" t="s">
        <v>598</v>
      </c>
      <c r="X31" s="135" t="s">
        <v>598</v>
      </c>
      <c r="Y31" s="135" t="s">
        <v>130</v>
      </c>
      <c r="Z31" s="135" t="s">
        <v>5</v>
      </c>
      <c r="AA31" s="135" t="s">
        <v>81</v>
      </c>
      <c r="AB31" s="135" t="s">
        <v>5</v>
      </c>
      <c r="AC31" s="135" t="s">
        <v>93</v>
      </c>
      <c r="AD31" s="135" t="s">
        <v>83</v>
      </c>
      <c r="AE31" s="135" t="s">
        <v>94</v>
      </c>
      <c r="AF31" s="135" t="s">
        <v>113</v>
      </c>
      <c r="AG31" s="136">
        <v>12000</v>
      </c>
      <c r="AH31" s="136">
        <v>12000</v>
      </c>
      <c r="AI31" s="136">
        <v>0</v>
      </c>
      <c r="AJ31" s="136">
        <v>0</v>
      </c>
      <c r="AK31" s="136">
        <v>7200</v>
      </c>
      <c r="AL31" s="135" t="s">
        <v>86</v>
      </c>
      <c r="AM31" s="135" t="s">
        <v>86</v>
      </c>
      <c r="AN31" s="135" t="s">
        <v>86</v>
      </c>
      <c r="AO31" s="135" t="s">
        <v>86</v>
      </c>
      <c r="AP31" s="135" t="s">
        <v>86</v>
      </c>
      <c r="AQ31" s="135" t="s">
        <v>87</v>
      </c>
      <c r="AR31" s="135" t="s">
        <v>88</v>
      </c>
      <c r="AS31" s="135" t="s">
        <v>89</v>
      </c>
      <c r="AT31" s="135" t="s">
        <v>89</v>
      </c>
      <c r="AU31" s="135" t="s">
        <v>154</v>
      </c>
      <c r="AV31" s="135" t="s">
        <v>511</v>
      </c>
      <c r="AW31" s="135" t="s">
        <v>92</v>
      </c>
      <c r="AX31" s="135" t="s">
        <v>627</v>
      </c>
      <c r="AY31" s="135">
        <v>0</v>
      </c>
      <c r="AZ31" s="135">
        <v>0</v>
      </c>
      <c r="BA31" s="135" t="s">
        <v>86</v>
      </c>
      <c r="BB31" s="137" t="s">
        <v>628</v>
      </c>
      <c r="BC31" s="135" t="s">
        <v>86</v>
      </c>
    </row>
    <row r="32" spans="1:55" ht="14.25" customHeight="1">
      <c r="A32" t="str">
        <f>IFERROR(VLOOKUP(AV32,Nómina!B:E,4,0),"")</f>
        <v>ALEJANDRA PAZ SANCHEZ LENERO</v>
      </c>
      <c r="B32" t="str">
        <f>IFERROR(VLOOKUP(A32,Nómina!E:F,2,0),"")</f>
        <v>13715658-K</v>
      </c>
      <c r="C32" s="30">
        <f t="shared" si="1"/>
        <v>5042</v>
      </c>
      <c r="D32" t="str">
        <f t="shared" si="2"/>
        <v>2026-07-03</v>
      </c>
      <c r="E32" t="str">
        <f t="shared" si="3"/>
        <v>HOTEL</v>
      </c>
      <c r="F32" t="str">
        <f t="shared" si="4"/>
        <v>Addon</v>
      </c>
      <c r="G32" t="str">
        <f t="shared" si="5"/>
        <v>Individual</v>
      </c>
      <c r="H32" t="str">
        <f t="shared" si="6"/>
        <v>15min</v>
      </c>
      <c r="I32" t="str">
        <f t="shared" si="7"/>
        <v>Craneofacial</v>
      </c>
      <c r="J32" t="str">
        <f t="shared" si="8"/>
        <v>LAS CONDES</v>
      </c>
      <c r="K32" t="str">
        <f t="shared" si="9"/>
        <v>Huésped: Jazmin Wakelin. Hab: 1001. Solicita: Valentina Catalán.</v>
      </c>
      <c r="L32">
        <f t="shared" si="10"/>
        <v>0</v>
      </c>
      <c r="M32">
        <f t="shared" si="11"/>
        <v>0</v>
      </c>
      <c r="N32" t="str">
        <f t="shared" si="12"/>
        <v/>
      </c>
      <c r="O32" s="10" t="str">
        <f>+VLOOKUP(Z32,listas!$B:$C,2,0)</f>
        <v>HOTEL</v>
      </c>
      <c r="P32" s="11">
        <f t="shared" si="0"/>
        <v>10000</v>
      </c>
      <c r="Q32" s="11">
        <f t="shared" si="13"/>
        <v>5042</v>
      </c>
      <c r="R32" s="59">
        <f t="shared" si="14"/>
        <v>7</v>
      </c>
      <c r="S32" s="59">
        <f t="shared" si="15"/>
        <v>3</v>
      </c>
      <c r="T32" s="11">
        <f t="shared" si="16"/>
        <v>1</v>
      </c>
      <c r="U32" s="135" t="s">
        <v>80</v>
      </c>
      <c r="V32" s="135" t="s">
        <v>626</v>
      </c>
      <c r="W32" s="135" t="s">
        <v>598</v>
      </c>
      <c r="X32" s="135" t="s">
        <v>598</v>
      </c>
      <c r="Y32" s="135" t="s">
        <v>130</v>
      </c>
      <c r="Z32" s="135" t="s">
        <v>5</v>
      </c>
      <c r="AA32" s="135" t="s">
        <v>81</v>
      </c>
      <c r="AB32" s="135" t="s">
        <v>5</v>
      </c>
      <c r="AC32" s="135" t="s">
        <v>93</v>
      </c>
      <c r="AD32" s="135" t="s">
        <v>83</v>
      </c>
      <c r="AE32" s="135" t="s">
        <v>94</v>
      </c>
      <c r="AF32" s="135" t="s">
        <v>96</v>
      </c>
      <c r="AG32" s="136">
        <v>10000</v>
      </c>
      <c r="AH32" s="136">
        <v>10000</v>
      </c>
      <c r="AI32" s="136">
        <v>0</v>
      </c>
      <c r="AJ32" s="136">
        <v>0</v>
      </c>
      <c r="AK32" s="136">
        <v>6000</v>
      </c>
      <c r="AL32" s="135" t="s">
        <v>86</v>
      </c>
      <c r="AM32" s="135" t="s">
        <v>86</v>
      </c>
      <c r="AN32" s="135" t="s">
        <v>86</v>
      </c>
      <c r="AO32" s="135" t="s">
        <v>86</v>
      </c>
      <c r="AP32" s="135" t="s">
        <v>86</v>
      </c>
      <c r="AQ32" s="135" t="s">
        <v>87</v>
      </c>
      <c r="AR32" s="135" t="s">
        <v>88</v>
      </c>
      <c r="AS32" s="135" t="s">
        <v>89</v>
      </c>
      <c r="AT32" s="135" t="s">
        <v>89</v>
      </c>
      <c r="AU32" s="135" t="s">
        <v>154</v>
      </c>
      <c r="AV32" s="135" t="s">
        <v>511</v>
      </c>
      <c r="AW32" s="135" t="s">
        <v>92</v>
      </c>
      <c r="AX32" s="135" t="s">
        <v>627</v>
      </c>
      <c r="AY32" s="135">
        <v>0</v>
      </c>
      <c r="AZ32" s="135">
        <v>0</v>
      </c>
      <c r="BA32" s="135" t="s">
        <v>86</v>
      </c>
      <c r="BB32" s="137" t="s">
        <v>628</v>
      </c>
      <c r="BC32" s="135" t="s">
        <v>86</v>
      </c>
    </row>
    <row r="33" spans="1:55" ht="14.25" customHeight="1">
      <c r="A33" t="str">
        <f>IFERROR(VLOOKUP(AV33,Nómina!B:E,4,0),"")</f>
        <v>PAMELA VERONICA CID NAVIA  </v>
      </c>
      <c r="B33" t="str">
        <f>IFERROR(VLOOKUP(A33,Nómina!E:F,2,0),"")</f>
        <v>8008360-2</v>
      </c>
      <c r="C33" s="30">
        <f t="shared" si="1"/>
        <v>31765</v>
      </c>
      <c r="D33" t="str">
        <f t="shared" si="2"/>
        <v>2026-07-04</v>
      </c>
      <c r="E33" t="str">
        <f t="shared" si="3"/>
        <v>B2C</v>
      </c>
      <c r="F33" t="str">
        <f t="shared" si="4"/>
        <v>Masaje</v>
      </c>
      <c r="G33" t="str">
        <f t="shared" si="5"/>
        <v>Individual</v>
      </c>
      <c r="H33" t="str">
        <f t="shared" si="6"/>
        <v>90min</v>
      </c>
      <c r="I33" t="str">
        <f t="shared" si="7"/>
        <v>Tejido profundo</v>
      </c>
      <c r="J33" t="str">
        <f t="shared" si="8"/>
        <v>ÑUÑOA</v>
      </c>
      <c r="K33" t="str">
        <f t="shared" si="9"/>
        <v>Ninguno</v>
      </c>
      <c r="L33">
        <f t="shared" si="10"/>
        <v>5</v>
      </c>
      <c r="M33">
        <f t="shared" si="11"/>
        <v>5</v>
      </c>
      <c r="N33" t="str">
        <f t="shared" si="12"/>
        <v/>
      </c>
      <c r="O33" s="10" t="str">
        <f>+VLOOKUP(Z33,listas!$B:$C,2,0)</f>
        <v>B2C</v>
      </c>
      <c r="P33" s="11">
        <f t="shared" si="0"/>
        <v>63000</v>
      </c>
      <c r="Q33" s="11">
        <f t="shared" si="13"/>
        <v>31765</v>
      </c>
      <c r="R33" s="59">
        <f t="shared" si="14"/>
        <v>7</v>
      </c>
      <c r="S33" s="59">
        <f t="shared" si="15"/>
        <v>4</v>
      </c>
      <c r="T33" s="11">
        <f t="shared" si="16"/>
        <v>1</v>
      </c>
      <c r="U33" s="120" t="s">
        <v>80</v>
      </c>
      <c r="V33" s="120" t="s">
        <v>629</v>
      </c>
      <c r="W33" s="120" t="s">
        <v>598</v>
      </c>
      <c r="X33" s="120" t="s">
        <v>630</v>
      </c>
      <c r="Y33" s="120" t="s">
        <v>156</v>
      </c>
      <c r="Z33" s="120" t="s">
        <v>98</v>
      </c>
      <c r="AA33" s="120" t="s">
        <v>99</v>
      </c>
      <c r="AB33" s="120" t="s">
        <v>4</v>
      </c>
      <c r="AC33" s="120" t="s">
        <v>82</v>
      </c>
      <c r="AD33" s="120" t="s">
        <v>83</v>
      </c>
      <c r="AE33" s="120" t="s">
        <v>146</v>
      </c>
      <c r="AF33" s="120" t="s">
        <v>123</v>
      </c>
      <c r="AG33" s="133">
        <v>63000</v>
      </c>
      <c r="AH33" s="133">
        <v>63000</v>
      </c>
      <c r="AI33" s="133">
        <v>0</v>
      </c>
      <c r="AJ33" s="133">
        <v>0</v>
      </c>
      <c r="AK33" s="133">
        <v>37800</v>
      </c>
      <c r="AL33" s="120" t="s">
        <v>86</v>
      </c>
      <c r="AM33" s="120" t="s">
        <v>86</v>
      </c>
      <c r="AN33" s="120" t="s">
        <v>86</v>
      </c>
      <c r="AO33" s="120" t="s">
        <v>86</v>
      </c>
      <c r="AP33" s="120" t="s">
        <v>86</v>
      </c>
      <c r="AQ33" s="120" t="s">
        <v>631</v>
      </c>
      <c r="AR33" s="120" t="s">
        <v>632</v>
      </c>
      <c r="AS33" s="120" t="s">
        <v>153</v>
      </c>
      <c r="AT33" s="120" t="s">
        <v>153</v>
      </c>
      <c r="AU33" s="120" t="s">
        <v>144</v>
      </c>
      <c r="AV33" s="120" t="s">
        <v>19</v>
      </c>
      <c r="AW33" s="120" t="s">
        <v>92</v>
      </c>
      <c r="AX33" s="120" t="s">
        <v>103</v>
      </c>
      <c r="AY33" s="120">
        <v>5</v>
      </c>
      <c r="AZ33" s="120">
        <v>5</v>
      </c>
      <c r="BA33" s="120" t="s">
        <v>86</v>
      </c>
      <c r="BB33" s="134" t="s">
        <v>633</v>
      </c>
      <c r="BC33" s="120" t="s">
        <v>86</v>
      </c>
    </row>
    <row r="34" spans="1:55" ht="14.25" customHeight="1">
      <c r="A34" t="str">
        <f>IFERROR(VLOOKUP(AV34,Nómina!B:E,4,0),"")</f>
        <v>PAMELA VERONICA CID NAVIA  </v>
      </c>
      <c r="B34" t="str">
        <f>IFERROR(VLOOKUP(A34,Nómina!E:F,2,0),"")</f>
        <v>8008360-2</v>
      </c>
      <c r="C34" s="30">
        <f t="shared" si="1"/>
        <v>2521</v>
      </c>
      <c r="D34" t="str">
        <f t="shared" si="2"/>
        <v>2026-07-04</v>
      </c>
      <c r="E34" t="str">
        <f t="shared" si="3"/>
        <v>B2C</v>
      </c>
      <c r="F34" t="str">
        <f t="shared" si="4"/>
        <v>Extra</v>
      </c>
      <c r="G34" t="str">
        <f t="shared" si="5"/>
        <v>Individual</v>
      </c>
      <c r="H34" t="str">
        <f t="shared" si="6"/>
        <v>-</v>
      </c>
      <c r="I34" t="str">
        <f t="shared" si="7"/>
        <v>Extra por festivo o fin de semana</v>
      </c>
      <c r="J34" t="str">
        <f t="shared" si="8"/>
        <v>ÑUÑOA</v>
      </c>
      <c r="K34" t="str">
        <f t="shared" si="9"/>
        <v>Ninguno</v>
      </c>
      <c r="L34">
        <f t="shared" si="10"/>
        <v>5</v>
      </c>
      <c r="M34">
        <f t="shared" si="11"/>
        <v>5</v>
      </c>
      <c r="N34" t="str">
        <f t="shared" si="12"/>
        <v/>
      </c>
      <c r="O34" s="10" t="str">
        <f>+VLOOKUP(Z34,listas!$B:$C,2,0)</f>
        <v>B2C</v>
      </c>
      <c r="P34" s="11">
        <f t="shared" si="0"/>
        <v>5000</v>
      </c>
      <c r="Q34" s="11">
        <f t="shared" si="13"/>
        <v>2521</v>
      </c>
      <c r="R34" s="59">
        <f t="shared" si="14"/>
        <v>7</v>
      </c>
      <c r="S34" s="59">
        <f t="shared" si="15"/>
        <v>4</v>
      </c>
      <c r="T34" s="11">
        <f t="shared" si="16"/>
        <v>1</v>
      </c>
      <c r="U34" s="138" t="s">
        <v>80</v>
      </c>
      <c r="V34" s="138" t="s">
        <v>629</v>
      </c>
      <c r="W34" s="138" t="s">
        <v>598</v>
      </c>
      <c r="X34" s="138" t="s">
        <v>630</v>
      </c>
      <c r="Y34" s="138" t="s">
        <v>156</v>
      </c>
      <c r="Z34" s="138" t="s">
        <v>98</v>
      </c>
      <c r="AA34" s="138" t="s">
        <v>99</v>
      </c>
      <c r="AB34" s="138" t="s">
        <v>4</v>
      </c>
      <c r="AC34" s="138" t="s">
        <v>104</v>
      </c>
      <c r="AD34" s="138" t="s">
        <v>83</v>
      </c>
      <c r="AE34" s="138" t="s">
        <v>105</v>
      </c>
      <c r="AF34" s="138" t="s">
        <v>438</v>
      </c>
      <c r="AG34" s="139">
        <v>5000</v>
      </c>
      <c r="AH34" s="139">
        <v>5000</v>
      </c>
      <c r="AI34" s="139">
        <v>0</v>
      </c>
      <c r="AJ34" s="139">
        <v>0</v>
      </c>
      <c r="AK34" s="139">
        <v>5000</v>
      </c>
      <c r="AL34" s="138" t="s">
        <v>86</v>
      </c>
      <c r="AM34" s="138" t="s">
        <v>86</v>
      </c>
      <c r="AN34" s="138" t="s">
        <v>86</v>
      </c>
      <c r="AO34" s="138" t="s">
        <v>86</v>
      </c>
      <c r="AP34" s="138" t="s">
        <v>86</v>
      </c>
      <c r="AQ34" s="138" t="s">
        <v>631</v>
      </c>
      <c r="AR34" s="138" t="s">
        <v>632</v>
      </c>
      <c r="AS34" s="138" t="s">
        <v>153</v>
      </c>
      <c r="AT34" s="138" t="s">
        <v>153</v>
      </c>
      <c r="AU34" s="138" t="s">
        <v>144</v>
      </c>
      <c r="AV34" s="138" t="s">
        <v>19</v>
      </c>
      <c r="AW34" s="138" t="s">
        <v>92</v>
      </c>
      <c r="AX34" s="138" t="s">
        <v>103</v>
      </c>
      <c r="AY34" s="138">
        <v>5</v>
      </c>
      <c r="AZ34" s="138">
        <v>5</v>
      </c>
      <c r="BA34" s="138" t="s">
        <v>86</v>
      </c>
      <c r="BB34" s="140" t="s">
        <v>633</v>
      </c>
      <c r="BC34" s="138" t="s">
        <v>86</v>
      </c>
    </row>
    <row r="35" spans="1:55" ht="14.25" customHeight="1">
      <c r="A35" t="str">
        <f>IFERROR(VLOOKUP(AV35,Nómina!B:E,4,0),"")</f>
        <v>PAMELA CONSTANZA HUILITRARO QUEZADA</v>
      </c>
      <c r="B35" t="str">
        <f>IFERROR(VLOOKUP(A35,Nómina!E:F,2,0),"")</f>
        <v>18881513-8</v>
      </c>
      <c r="C35" s="30">
        <f t="shared" si="1"/>
        <v>22689</v>
      </c>
      <c r="D35" t="str">
        <f t="shared" si="2"/>
        <v>2026-07-04</v>
      </c>
      <c r="E35" t="str">
        <f t="shared" si="3"/>
        <v>B2C</v>
      </c>
      <c r="F35" t="str">
        <f t="shared" si="4"/>
        <v>Masaje</v>
      </c>
      <c r="G35" t="str">
        <f t="shared" si="5"/>
        <v>Pareja</v>
      </c>
      <c r="H35" t="str">
        <f t="shared" si="6"/>
        <v>60min</v>
      </c>
      <c r="I35" t="str">
        <f t="shared" si="7"/>
        <v>Relajante</v>
      </c>
      <c r="J35" t="str">
        <f t="shared" si="8"/>
        <v>PROVIDENCIA</v>
      </c>
      <c r="K35" t="str">
        <f t="shared" si="9"/>
        <v>Ninguno</v>
      </c>
      <c r="L35">
        <f t="shared" si="10"/>
        <v>0</v>
      </c>
      <c r="M35">
        <f t="shared" si="11"/>
        <v>0</v>
      </c>
      <c r="N35" t="str">
        <f t="shared" si="12"/>
        <v/>
      </c>
      <c r="O35" s="10" t="str">
        <f>+VLOOKUP(Z35,listas!$B:$C,2,0)</f>
        <v>B2C</v>
      </c>
      <c r="P35" s="11">
        <f t="shared" si="0"/>
        <v>45000</v>
      </c>
      <c r="Q35" s="11">
        <f t="shared" si="13"/>
        <v>22689</v>
      </c>
      <c r="R35" s="59">
        <f t="shared" si="14"/>
        <v>7</v>
      </c>
      <c r="S35" s="59">
        <f t="shared" si="15"/>
        <v>4</v>
      </c>
      <c r="T35" s="11">
        <f t="shared" si="16"/>
        <v>1</v>
      </c>
      <c r="U35" s="120" t="s">
        <v>80</v>
      </c>
      <c r="V35" s="120" t="s">
        <v>634</v>
      </c>
      <c r="W35" s="120" t="s">
        <v>598</v>
      </c>
      <c r="X35" s="120" t="s">
        <v>630</v>
      </c>
      <c r="Y35" s="120" t="s">
        <v>134</v>
      </c>
      <c r="Z35" s="120" t="s">
        <v>98</v>
      </c>
      <c r="AA35" s="120" t="s">
        <v>99</v>
      </c>
      <c r="AB35" s="120" t="s">
        <v>4</v>
      </c>
      <c r="AC35" s="120" t="s">
        <v>82</v>
      </c>
      <c r="AD35" s="120" t="s">
        <v>119</v>
      </c>
      <c r="AE35" s="120" t="s">
        <v>84</v>
      </c>
      <c r="AF35" s="120" t="s">
        <v>85</v>
      </c>
      <c r="AG35" s="133">
        <v>45000</v>
      </c>
      <c r="AH35" s="133">
        <v>45000</v>
      </c>
      <c r="AI35" s="133">
        <v>0</v>
      </c>
      <c r="AJ35" s="133">
        <v>0</v>
      </c>
      <c r="AK35" s="133">
        <v>27000</v>
      </c>
      <c r="AL35" s="120" t="s">
        <v>86</v>
      </c>
      <c r="AM35" s="120" t="s">
        <v>86</v>
      </c>
      <c r="AN35" s="120" t="s">
        <v>86</v>
      </c>
      <c r="AO35" s="120" t="s">
        <v>86</v>
      </c>
      <c r="AP35" s="120" t="s">
        <v>86</v>
      </c>
      <c r="AQ35" s="120" t="s">
        <v>635</v>
      </c>
      <c r="AR35" s="120" t="s">
        <v>636</v>
      </c>
      <c r="AS35" s="120" t="s">
        <v>143</v>
      </c>
      <c r="AT35" s="120" t="s">
        <v>143</v>
      </c>
      <c r="AU35" s="120" t="s">
        <v>91</v>
      </c>
      <c r="AV35" s="120" t="s">
        <v>20</v>
      </c>
      <c r="AW35" s="120" t="s">
        <v>92</v>
      </c>
      <c r="AX35" s="120" t="s">
        <v>103</v>
      </c>
      <c r="AY35" s="120">
        <v>0</v>
      </c>
      <c r="AZ35" s="120">
        <v>0</v>
      </c>
      <c r="BA35" s="120" t="s">
        <v>86</v>
      </c>
      <c r="BB35" s="134" t="s">
        <v>637</v>
      </c>
      <c r="BC35" s="120" t="s">
        <v>86</v>
      </c>
    </row>
    <row r="36" spans="1:55" ht="14.25" customHeight="1">
      <c r="A36" t="str">
        <f>IFERROR(VLOOKUP(AV36,Nómina!B:E,4,0),"")</f>
        <v>PAMELA VERONICA CID NAVIA  </v>
      </c>
      <c r="B36" t="str">
        <f>IFERROR(VLOOKUP(A36,Nómina!E:F,2,0),"")</f>
        <v>8008360-2</v>
      </c>
      <c r="C36" s="30">
        <f t="shared" si="1"/>
        <v>22689</v>
      </c>
      <c r="D36" t="str">
        <f t="shared" si="2"/>
        <v>2026-07-04</v>
      </c>
      <c r="E36" t="str">
        <f t="shared" si="3"/>
        <v>B2C</v>
      </c>
      <c r="F36" t="str">
        <f t="shared" si="4"/>
        <v>Masaje</v>
      </c>
      <c r="G36" t="str">
        <f t="shared" si="5"/>
        <v>Pareja</v>
      </c>
      <c r="H36" t="str">
        <f t="shared" si="6"/>
        <v>60min</v>
      </c>
      <c r="I36" t="str">
        <f t="shared" si="7"/>
        <v>Relajante</v>
      </c>
      <c r="J36" t="str">
        <f t="shared" si="8"/>
        <v>PROVIDENCIA</v>
      </c>
      <c r="K36" t="str">
        <f t="shared" si="9"/>
        <v>Ninguno</v>
      </c>
      <c r="L36">
        <f t="shared" si="10"/>
        <v>0</v>
      </c>
      <c r="M36">
        <f t="shared" si="11"/>
        <v>0</v>
      </c>
      <c r="N36" t="str">
        <f t="shared" si="12"/>
        <v/>
      </c>
      <c r="O36" s="10" t="str">
        <f>+VLOOKUP(Z36,listas!$B:$C,2,0)</f>
        <v>B2C</v>
      </c>
      <c r="P36" s="11">
        <f t="shared" si="0"/>
        <v>45000</v>
      </c>
      <c r="Q36" s="11">
        <f t="shared" si="13"/>
        <v>22689</v>
      </c>
      <c r="R36" s="59">
        <f t="shared" si="14"/>
        <v>7</v>
      </c>
      <c r="S36" s="59">
        <f t="shared" si="15"/>
        <v>4</v>
      </c>
      <c r="T36" s="11">
        <f t="shared" si="16"/>
        <v>1</v>
      </c>
      <c r="U36" s="120" t="s">
        <v>80</v>
      </c>
      <c r="V36" s="120" t="s">
        <v>634</v>
      </c>
      <c r="W36" s="120" t="s">
        <v>598</v>
      </c>
      <c r="X36" s="120" t="s">
        <v>630</v>
      </c>
      <c r="Y36" s="120" t="s">
        <v>134</v>
      </c>
      <c r="Z36" s="120" t="s">
        <v>98</v>
      </c>
      <c r="AA36" s="120" t="s">
        <v>99</v>
      </c>
      <c r="AB36" s="120" t="s">
        <v>4</v>
      </c>
      <c r="AC36" s="120" t="s">
        <v>82</v>
      </c>
      <c r="AD36" s="120" t="s">
        <v>119</v>
      </c>
      <c r="AE36" s="120" t="s">
        <v>84</v>
      </c>
      <c r="AF36" s="120" t="s">
        <v>85</v>
      </c>
      <c r="AG36" s="133">
        <v>45000</v>
      </c>
      <c r="AH36" s="133">
        <v>45000</v>
      </c>
      <c r="AI36" s="133">
        <v>0</v>
      </c>
      <c r="AJ36" s="133">
        <v>0</v>
      </c>
      <c r="AK36" s="133">
        <v>27000</v>
      </c>
      <c r="AL36" s="120" t="s">
        <v>86</v>
      </c>
      <c r="AM36" s="120" t="s">
        <v>86</v>
      </c>
      <c r="AN36" s="120" t="s">
        <v>86</v>
      </c>
      <c r="AO36" s="120" t="s">
        <v>86</v>
      </c>
      <c r="AP36" s="120" t="s">
        <v>86</v>
      </c>
      <c r="AQ36" s="120" t="s">
        <v>635</v>
      </c>
      <c r="AR36" s="120" t="s">
        <v>636</v>
      </c>
      <c r="AS36" s="120" t="s">
        <v>143</v>
      </c>
      <c r="AT36" s="120" t="s">
        <v>143</v>
      </c>
      <c r="AU36" s="120" t="s">
        <v>144</v>
      </c>
      <c r="AV36" s="120" t="s">
        <v>19</v>
      </c>
      <c r="AW36" s="120" t="s">
        <v>92</v>
      </c>
      <c r="AX36" s="120" t="s">
        <v>103</v>
      </c>
      <c r="AY36" s="120">
        <v>0</v>
      </c>
      <c r="AZ36" s="120">
        <v>0</v>
      </c>
      <c r="BA36" s="120" t="s">
        <v>86</v>
      </c>
      <c r="BB36" s="134" t="s">
        <v>637</v>
      </c>
      <c r="BC36" s="120" t="s">
        <v>86</v>
      </c>
    </row>
    <row r="37" spans="1:55" ht="14.25" customHeight="1">
      <c r="A37" t="str">
        <f>IFERROR(VLOOKUP(AV37,Nómina!B:E,4,0),"")</f>
        <v>PAMELA CONSTANZA HUILITRARO QUEZADA</v>
      </c>
      <c r="B37" t="str">
        <f>IFERROR(VLOOKUP(A37,Nómina!E:F,2,0),"")</f>
        <v>18881513-8</v>
      </c>
      <c r="C37" s="30">
        <f t="shared" si="1"/>
        <v>2521</v>
      </c>
      <c r="D37" t="str">
        <f t="shared" si="2"/>
        <v>2026-07-04</v>
      </c>
      <c r="E37" t="str">
        <f t="shared" si="3"/>
        <v>B2C</v>
      </c>
      <c r="F37" t="str">
        <f t="shared" si="4"/>
        <v>Extra</v>
      </c>
      <c r="G37" t="str">
        <f t="shared" si="5"/>
        <v>Pareja</v>
      </c>
      <c r="H37" t="str">
        <f t="shared" si="6"/>
        <v>-</v>
      </c>
      <c r="I37" t="str">
        <f t="shared" si="7"/>
        <v>Extra por festivo o fin de semana</v>
      </c>
      <c r="J37" t="str">
        <f t="shared" si="8"/>
        <v>PROVIDENCIA</v>
      </c>
      <c r="K37" t="str">
        <f t="shared" si="9"/>
        <v>Ninguno</v>
      </c>
      <c r="L37">
        <f t="shared" si="10"/>
        <v>0</v>
      </c>
      <c r="M37">
        <f t="shared" si="11"/>
        <v>0</v>
      </c>
      <c r="N37" t="str">
        <f t="shared" si="12"/>
        <v/>
      </c>
      <c r="O37" s="10" t="str">
        <f>+VLOOKUP(Z37,listas!$B:$C,2,0)</f>
        <v>B2C</v>
      </c>
      <c r="P37" s="11">
        <f t="shared" si="0"/>
        <v>5000</v>
      </c>
      <c r="Q37" s="11">
        <f t="shared" si="13"/>
        <v>2521</v>
      </c>
      <c r="R37" s="59">
        <f t="shared" si="14"/>
        <v>7</v>
      </c>
      <c r="S37" s="59">
        <f t="shared" si="15"/>
        <v>4</v>
      </c>
      <c r="T37" s="11">
        <f t="shared" si="16"/>
        <v>1</v>
      </c>
      <c r="U37" s="138" t="s">
        <v>80</v>
      </c>
      <c r="V37" s="138" t="s">
        <v>634</v>
      </c>
      <c r="W37" s="138" t="s">
        <v>598</v>
      </c>
      <c r="X37" s="138" t="s">
        <v>630</v>
      </c>
      <c r="Y37" s="138" t="s">
        <v>134</v>
      </c>
      <c r="Z37" s="138" t="s">
        <v>98</v>
      </c>
      <c r="AA37" s="138" t="s">
        <v>99</v>
      </c>
      <c r="AB37" s="138" t="s">
        <v>4</v>
      </c>
      <c r="AC37" s="138" t="s">
        <v>104</v>
      </c>
      <c r="AD37" s="138" t="s">
        <v>119</v>
      </c>
      <c r="AE37" s="138" t="s">
        <v>105</v>
      </c>
      <c r="AF37" s="138" t="s">
        <v>438</v>
      </c>
      <c r="AG37" s="139">
        <v>5000</v>
      </c>
      <c r="AH37" s="139">
        <v>5000</v>
      </c>
      <c r="AI37" s="139">
        <v>0</v>
      </c>
      <c r="AJ37" s="139">
        <v>0</v>
      </c>
      <c r="AK37" s="139">
        <v>5000</v>
      </c>
      <c r="AL37" s="138" t="s">
        <v>86</v>
      </c>
      <c r="AM37" s="138" t="s">
        <v>86</v>
      </c>
      <c r="AN37" s="138" t="s">
        <v>86</v>
      </c>
      <c r="AO37" s="138" t="s">
        <v>86</v>
      </c>
      <c r="AP37" s="138" t="s">
        <v>86</v>
      </c>
      <c r="AQ37" s="138" t="s">
        <v>635</v>
      </c>
      <c r="AR37" s="138" t="s">
        <v>636</v>
      </c>
      <c r="AS37" s="138" t="s">
        <v>143</v>
      </c>
      <c r="AT37" s="138" t="s">
        <v>143</v>
      </c>
      <c r="AU37" s="138" t="s">
        <v>91</v>
      </c>
      <c r="AV37" s="138" t="s">
        <v>20</v>
      </c>
      <c r="AW37" s="138" t="s">
        <v>92</v>
      </c>
      <c r="AX37" s="138" t="s">
        <v>103</v>
      </c>
      <c r="AY37" s="138">
        <v>0</v>
      </c>
      <c r="AZ37" s="138">
        <v>0</v>
      </c>
      <c r="BA37" s="138" t="s">
        <v>86</v>
      </c>
      <c r="BB37" s="140" t="s">
        <v>637</v>
      </c>
      <c r="BC37" s="138" t="s">
        <v>86</v>
      </c>
    </row>
    <row r="38" spans="1:55" ht="14.25" customHeight="1">
      <c r="A38" t="str">
        <f>IFERROR(VLOOKUP(AV38,Nómina!B:E,4,0),"")</f>
        <v>PAMELA VERONICA CID NAVIA  </v>
      </c>
      <c r="B38" t="str">
        <f>IFERROR(VLOOKUP(A38,Nómina!E:F,2,0),"")</f>
        <v>8008360-2</v>
      </c>
      <c r="C38" s="30">
        <f t="shared" si="1"/>
        <v>2521</v>
      </c>
      <c r="D38" t="str">
        <f t="shared" si="2"/>
        <v>2026-07-04</v>
      </c>
      <c r="E38" t="str">
        <f t="shared" si="3"/>
        <v>B2C</v>
      </c>
      <c r="F38" t="str">
        <f t="shared" si="4"/>
        <v>Extra</v>
      </c>
      <c r="G38" t="str">
        <f t="shared" si="5"/>
        <v>Pareja</v>
      </c>
      <c r="H38" t="str">
        <f t="shared" si="6"/>
        <v>-</v>
      </c>
      <c r="I38" t="str">
        <f t="shared" si="7"/>
        <v>Extra por festivo o fin de semana</v>
      </c>
      <c r="J38" t="str">
        <f t="shared" si="8"/>
        <v>PROVIDENCIA</v>
      </c>
      <c r="K38" t="str">
        <f t="shared" si="9"/>
        <v>Ninguno</v>
      </c>
      <c r="L38">
        <f t="shared" si="10"/>
        <v>0</v>
      </c>
      <c r="M38">
        <f t="shared" si="11"/>
        <v>0</v>
      </c>
      <c r="N38" t="str">
        <f t="shared" si="12"/>
        <v/>
      </c>
      <c r="O38" s="10" t="str">
        <f>+VLOOKUP(Z38,listas!$B:$C,2,0)</f>
        <v>B2C</v>
      </c>
      <c r="P38" s="11">
        <f t="shared" si="0"/>
        <v>5000</v>
      </c>
      <c r="Q38" s="11">
        <f t="shared" si="13"/>
        <v>2521</v>
      </c>
      <c r="R38" s="59">
        <f t="shared" si="14"/>
        <v>7</v>
      </c>
      <c r="S38" s="59">
        <f t="shared" si="15"/>
        <v>4</v>
      </c>
      <c r="T38" s="11">
        <f t="shared" si="16"/>
        <v>1</v>
      </c>
      <c r="U38" s="138" t="s">
        <v>80</v>
      </c>
      <c r="V38" s="138" t="s">
        <v>634</v>
      </c>
      <c r="W38" s="138" t="s">
        <v>598</v>
      </c>
      <c r="X38" s="138" t="s">
        <v>630</v>
      </c>
      <c r="Y38" s="138" t="s">
        <v>134</v>
      </c>
      <c r="Z38" s="138" t="s">
        <v>98</v>
      </c>
      <c r="AA38" s="138" t="s">
        <v>99</v>
      </c>
      <c r="AB38" s="138" t="s">
        <v>4</v>
      </c>
      <c r="AC38" s="138" t="s">
        <v>104</v>
      </c>
      <c r="AD38" s="138" t="s">
        <v>119</v>
      </c>
      <c r="AE38" s="138" t="s">
        <v>105</v>
      </c>
      <c r="AF38" s="138" t="s">
        <v>438</v>
      </c>
      <c r="AG38" s="139">
        <v>5000</v>
      </c>
      <c r="AH38" s="139">
        <v>5000</v>
      </c>
      <c r="AI38" s="139">
        <v>0</v>
      </c>
      <c r="AJ38" s="139">
        <v>0</v>
      </c>
      <c r="AK38" s="139">
        <v>5000</v>
      </c>
      <c r="AL38" s="138" t="s">
        <v>86</v>
      </c>
      <c r="AM38" s="138" t="s">
        <v>86</v>
      </c>
      <c r="AN38" s="138" t="s">
        <v>86</v>
      </c>
      <c r="AO38" s="138" t="s">
        <v>86</v>
      </c>
      <c r="AP38" s="138" t="s">
        <v>86</v>
      </c>
      <c r="AQ38" s="138" t="s">
        <v>635</v>
      </c>
      <c r="AR38" s="138" t="s">
        <v>636</v>
      </c>
      <c r="AS38" s="138" t="s">
        <v>143</v>
      </c>
      <c r="AT38" s="138" t="s">
        <v>143</v>
      </c>
      <c r="AU38" s="138" t="s">
        <v>144</v>
      </c>
      <c r="AV38" s="138" t="s">
        <v>19</v>
      </c>
      <c r="AW38" s="138" t="s">
        <v>92</v>
      </c>
      <c r="AX38" s="138" t="s">
        <v>103</v>
      </c>
      <c r="AY38" s="138">
        <v>0</v>
      </c>
      <c r="AZ38" s="138">
        <v>0</v>
      </c>
      <c r="BA38" s="138" t="s">
        <v>86</v>
      </c>
      <c r="BB38" s="140" t="s">
        <v>637</v>
      </c>
      <c r="BC38" s="138" t="s">
        <v>86</v>
      </c>
    </row>
    <row r="39" spans="1:55" ht="14.25" customHeight="1">
      <c r="A39" t="str">
        <f>IFERROR(VLOOKUP(AV39,Nómina!B:E,4,0),"")</f>
        <v>PAMELA VERONICA CID NAVIA  </v>
      </c>
      <c r="B39" t="str">
        <f>IFERROR(VLOOKUP(A39,Nómina!E:F,2,0),"")</f>
        <v>8008360-2</v>
      </c>
      <c r="C39" s="30">
        <f t="shared" si="1"/>
        <v>22689</v>
      </c>
      <c r="D39" t="str">
        <f t="shared" si="2"/>
        <v>2026-07-04</v>
      </c>
      <c r="E39" t="str">
        <f t="shared" si="3"/>
        <v>B2C</v>
      </c>
      <c r="F39" t="str">
        <f t="shared" si="4"/>
        <v>Masaje</v>
      </c>
      <c r="G39" t="str">
        <f t="shared" si="5"/>
        <v>Pareja</v>
      </c>
      <c r="H39" t="str">
        <f t="shared" si="6"/>
        <v>60min</v>
      </c>
      <c r="I39" t="str">
        <f t="shared" si="7"/>
        <v>Relajante</v>
      </c>
      <c r="J39" t="str">
        <f t="shared" si="8"/>
        <v>SANTIAGO DE CHILE</v>
      </c>
      <c r="K39" t="str">
        <f t="shared" si="9"/>
        <v>Ninguno</v>
      </c>
      <c r="L39">
        <f t="shared" si="10"/>
        <v>0</v>
      </c>
      <c r="M39">
        <f t="shared" si="11"/>
        <v>0</v>
      </c>
      <c r="N39" t="str">
        <f t="shared" si="12"/>
        <v/>
      </c>
      <c r="O39" s="10" t="str">
        <f>+VLOOKUP(Z39,listas!$B:$C,2,0)</f>
        <v>B2C</v>
      </c>
      <c r="P39" s="11">
        <f t="shared" si="0"/>
        <v>45000</v>
      </c>
      <c r="Q39" s="11">
        <f t="shared" si="13"/>
        <v>22689</v>
      </c>
      <c r="R39" s="59">
        <f t="shared" si="14"/>
        <v>7</v>
      </c>
      <c r="S39" s="59">
        <f t="shared" si="15"/>
        <v>4</v>
      </c>
      <c r="T39" s="11">
        <f t="shared" si="16"/>
        <v>1</v>
      </c>
      <c r="U39" s="120" t="s">
        <v>80</v>
      </c>
      <c r="V39" s="120" t="s">
        <v>638</v>
      </c>
      <c r="W39" s="120" t="s">
        <v>598</v>
      </c>
      <c r="X39" s="120" t="s">
        <v>630</v>
      </c>
      <c r="Y39" s="120" t="s">
        <v>128</v>
      </c>
      <c r="Z39" s="120" t="s">
        <v>98</v>
      </c>
      <c r="AA39" s="120" t="s">
        <v>99</v>
      </c>
      <c r="AB39" s="120" t="s">
        <v>4</v>
      </c>
      <c r="AC39" s="120" t="s">
        <v>82</v>
      </c>
      <c r="AD39" s="120" t="s">
        <v>119</v>
      </c>
      <c r="AE39" s="120" t="s">
        <v>84</v>
      </c>
      <c r="AF39" s="120" t="s">
        <v>85</v>
      </c>
      <c r="AG39" s="133">
        <v>45000</v>
      </c>
      <c r="AH39" s="133">
        <v>45000</v>
      </c>
      <c r="AI39" s="133">
        <v>0</v>
      </c>
      <c r="AJ39" s="133">
        <v>0</v>
      </c>
      <c r="AK39" s="133">
        <v>27000</v>
      </c>
      <c r="AL39" s="120" t="s">
        <v>86</v>
      </c>
      <c r="AM39" s="120" t="s">
        <v>86</v>
      </c>
      <c r="AN39" s="120" t="s">
        <v>86</v>
      </c>
      <c r="AO39" s="120" t="s">
        <v>86</v>
      </c>
      <c r="AP39" s="120" t="s">
        <v>86</v>
      </c>
      <c r="AQ39" s="120" t="s">
        <v>639</v>
      </c>
      <c r="AR39" s="120" t="s">
        <v>640</v>
      </c>
      <c r="AS39" s="120" t="s">
        <v>108</v>
      </c>
      <c r="AT39" s="120" t="s">
        <v>90</v>
      </c>
      <c r="AU39" s="120" t="s">
        <v>144</v>
      </c>
      <c r="AV39" s="120" t="s">
        <v>19</v>
      </c>
      <c r="AW39" s="120" t="s">
        <v>92</v>
      </c>
      <c r="AX39" s="120" t="s">
        <v>103</v>
      </c>
      <c r="AY39" s="120">
        <v>0</v>
      </c>
      <c r="AZ39" s="120">
        <v>0</v>
      </c>
      <c r="BA39" s="120" t="s">
        <v>86</v>
      </c>
      <c r="BB39" s="134" t="s">
        <v>641</v>
      </c>
      <c r="BC39" s="120" t="s">
        <v>86</v>
      </c>
    </row>
    <row r="40" spans="1:55" ht="14.25" customHeight="1">
      <c r="A40" t="str">
        <f>IFERROR(VLOOKUP(AV40,Nómina!B:E,4,0),"")</f>
        <v>MARIA MAGDALENA CASTRO MORGADO</v>
      </c>
      <c r="B40" t="str">
        <f>IFERROR(VLOOKUP(A40,Nómina!E:F,2,0),"")</f>
        <v>13335240-6</v>
      </c>
      <c r="C40" s="30">
        <f t="shared" si="1"/>
        <v>22689</v>
      </c>
      <c r="D40" t="str">
        <f t="shared" si="2"/>
        <v>2026-07-04</v>
      </c>
      <c r="E40" t="str">
        <f t="shared" si="3"/>
        <v>B2C</v>
      </c>
      <c r="F40" t="str">
        <f t="shared" si="4"/>
        <v>Masaje</v>
      </c>
      <c r="G40" t="str">
        <f t="shared" si="5"/>
        <v>Pareja</v>
      </c>
      <c r="H40" t="str">
        <f t="shared" si="6"/>
        <v>60min</v>
      </c>
      <c r="I40" t="str">
        <f t="shared" si="7"/>
        <v>Tejido profundo</v>
      </c>
      <c r="J40" t="str">
        <f t="shared" si="8"/>
        <v>SANTIAGO DE CHILE</v>
      </c>
      <c r="K40" t="str">
        <f t="shared" si="9"/>
        <v>Ninguno</v>
      </c>
      <c r="L40">
        <f t="shared" si="10"/>
        <v>0</v>
      </c>
      <c r="M40">
        <f t="shared" si="11"/>
        <v>0</v>
      </c>
      <c r="N40" t="str">
        <f t="shared" si="12"/>
        <v/>
      </c>
      <c r="O40" s="10" t="str">
        <f>+VLOOKUP(Z40,listas!$B:$C,2,0)</f>
        <v>B2C</v>
      </c>
      <c r="P40" s="11">
        <f t="shared" si="0"/>
        <v>45000</v>
      </c>
      <c r="Q40" s="11">
        <f t="shared" si="13"/>
        <v>22689</v>
      </c>
      <c r="R40" s="59">
        <f t="shared" si="14"/>
        <v>7</v>
      </c>
      <c r="S40" s="59">
        <f t="shared" si="15"/>
        <v>4</v>
      </c>
      <c r="T40" s="11">
        <f t="shared" si="16"/>
        <v>1</v>
      </c>
      <c r="U40" s="120" t="s">
        <v>80</v>
      </c>
      <c r="V40" s="120" t="s">
        <v>638</v>
      </c>
      <c r="W40" s="120" t="s">
        <v>598</v>
      </c>
      <c r="X40" s="120" t="s">
        <v>630</v>
      </c>
      <c r="Y40" s="120" t="s">
        <v>128</v>
      </c>
      <c r="Z40" s="120" t="s">
        <v>98</v>
      </c>
      <c r="AA40" s="120" t="s">
        <v>99</v>
      </c>
      <c r="AB40" s="120" t="s">
        <v>4</v>
      </c>
      <c r="AC40" s="120" t="s">
        <v>82</v>
      </c>
      <c r="AD40" s="120" t="s">
        <v>119</v>
      </c>
      <c r="AE40" s="120" t="s">
        <v>84</v>
      </c>
      <c r="AF40" s="120" t="s">
        <v>123</v>
      </c>
      <c r="AG40" s="133">
        <v>45000</v>
      </c>
      <c r="AH40" s="133">
        <v>45000</v>
      </c>
      <c r="AI40" s="133">
        <v>0</v>
      </c>
      <c r="AJ40" s="133">
        <v>0</v>
      </c>
      <c r="AK40" s="133">
        <v>27000</v>
      </c>
      <c r="AL40" s="120" t="s">
        <v>86</v>
      </c>
      <c r="AM40" s="120" t="s">
        <v>86</v>
      </c>
      <c r="AN40" s="120" t="s">
        <v>86</v>
      </c>
      <c r="AO40" s="120" t="s">
        <v>86</v>
      </c>
      <c r="AP40" s="120" t="s">
        <v>86</v>
      </c>
      <c r="AQ40" s="120" t="s">
        <v>639</v>
      </c>
      <c r="AR40" s="120" t="s">
        <v>640</v>
      </c>
      <c r="AS40" s="120" t="s">
        <v>108</v>
      </c>
      <c r="AT40" s="120" t="s">
        <v>90</v>
      </c>
      <c r="AU40" s="120" t="s">
        <v>102</v>
      </c>
      <c r="AV40" s="120" t="s">
        <v>17</v>
      </c>
      <c r="AW40" s="120" t="s">
        <v>92</v>
      </c>
      <c r="AX40" s="120" t="s">
        <v>103</v>
      </c>
      <c r="AY40" s="120">
        <v>0</v>
      </c>
      <c r="AZ40" s="120">
        <v>0</v>
      </c>
      <c r="BA40" s="120" t="s">
        <v>86</v>
      </c>
      <c r="BB40" s="134" t="s">
        <v>641</v>
      </c>
      <c r="BC40" s="120" t="s">
        <v>86</v>
      </c>
    </row>
    <row r="41" spans="1:55" ht="14.25" customHeight="1">
      <c r="A41" t="str">
        <f>IFERROR(VLOOKUP(AV41,Nómina!B:E,4,0),"")</f>
        <v>PAMELA VERONICA CID NAVIA  </v>
      </c>
      <c r="B41" t="str">
        <f>IFERROR(VLOOKUP(A41,Nómina!E:F,2,0),"")</f>
        <v>8008360-2</v>
      </c>
      <c r="C41" s="30">
        <f t="shared" si="1"/>
        <v>2521</v>
      </c>
      <c r="D41" t="str">
        <f t="shared" si="2"/>
        <v>2026-07-04</v>
      </c>
      <c r="E41" t="str">
        <f t="shared" si="3"/>
        <v>B2C</v>
      </c>
      <c r="F41" t="str">
        <f t="shared" si="4"/>
        <v>Extra</v>
      </c>
      <c r="G41" t="str">
        <f t="shared" si="5"/>
        <v>Pareja</v>
      </c>
      <c r="H41" t="str">
        <f t="shared" si="6"/>
        <v>-</v>
      </c>
      <c r="I41" t="str">
        <f t="shared" si="7"/>
        <v>Extra por festivo o fin de semana</v>
      </c>
      <c r="J41" t="str">
        <f t="shared" si="8"/>
        <v>SANTIAGO DE CHILE</v>
      </c>
      <c r="K41" t="str">
        <f t="shared" si="9"/>
        <v>Ninguno</v>
      </c>
      <c r="L41">
        <f t="shared" si="10"/>
        <v>0</v>
      </c>
      <c r="M41">
        <f t="shared" si="11"/>
        <v>0</v>
      </c>
      <c r="N41" t="str">
        <f t="shared" si="12"/>
        <v/>
      </c>
      <c r="O41" s="10" t="str">
        <f>+VLOOKUP(Z41,listas!$B:$C,2,0)</f>
        <v>B2C</v>
      </c>
      <c r="P41" s="11">
        <f t="shared" si="0"/>
        <v>5000</v>
      </c>
      <c r="Q41" s="11">
        <f t="shared" si="13"/>
        <v>2521</v>
      </c>
      <c r="R41" s="59">
        <f t="shared" si="14"/>
        <v>7</v>
      </c>
      <c r="S41" s="59">
        <f t="shared" si="15"/>
        <v>4</v>
      </c>
      <c r="T41" s="11">
        <f t="shared" si="16"/>
        <v>1</v>
      </c>
      <c r="U41" s="138" t="s">
        <v>80</v>
      </c>
      <c r="V41" s="138" t="s">
        <v>638</v>
      </c>
      <c r="W41" s="138" t="s">
        <v>598</v>
      </c>
      <c r="X41" s="138" t="s">
        <v>630</v>
      </c>
      <c r="Y41" s="138" t="s">
        <v>128</v>
      </c>
      <c r="Z41" s="138" t="s">
        <v>98</v>
      </c>
      <c r="AA41" s="138" t="s">
        <v>99</v>
      </c>
      <c r="AB41" s="138" t="s">
        <v>4</v>
      </c>
      <c r="AC41" s="138" t="s">
        <v>104</v>
      </c>
      <c r="AD41" s="138" t="s">
        <v>119</v>
      </c>
      <c r="AE41" s="138" t="s">
        <v>105</v>
      </c>
      <c r="AF41" s="138" t="s">
        <v>438</v>
      </c>
      <c r="AG41" s="139">
        <v>5000</v>
      </c>
      <c r="AH41" s="139">
        <v>5000</v>
      </c>
      <c r="AI41" s="139">
        <v>0</v>
      </c>
      <c r="AJ41" s="139">
        <v>0</v>
      </c>
      <c r="AK41" s="139">
        <v>5000</v>
      </c>
      <c r="AL41" s="138" t="s">
        <v>86</v>
      </c>
      <c r="AM41" s="138" t="s">
        <v>86</v>
      </c>
      <c r="AN41" s="138" t="s">
        <v>86</v>
      </c>
      <c r="AO41" s="138" t="s">
        <v>86</v>
      </c>
      <c r="AP41" s="138" t="s">
        <v>86</v>
      </c>
      <c r="AQ41" s="138" t="s">
        <v>639</v>
      </c>
      <c r="AR41" s="138" t="s">
        <v>640</v>
      </c>
      <c r="AS41" s="138" t="s">
        <v>108</v>
      </c>
      <c r="AT41" s="138" t="s">
        <v>90</v>
      </c>
      <c r="AU41" s="138" t="s">
        <v>144</v>
      </c>
      <c r="AV41" s="138" t="s">
        <v>19</v>
      </c>
      <c r="AW41" s="138" t="s">
        <v>92</v>
      </c>
      <c r="AX41" s="138" t="s">
        <v>103</v>
      </c>
      <c r="AY41" s="138">
        <v>0</v>
      </c>
      <c r="AZ41" s="138">
        <v>0</v>
      </c>
      <c r="BA41" s="138" t="s">
        <v>86</v>
      </c>
      <c r="BB41" s="140" t="s">
        <v>641</v>
      </c>
      <c r="BC41" s="138" t="s">
        <v>86</v>
      </c>
    </row>
    <row r="42" spans="1:55" ht="14.25" customHeight="1">
      <c r="A42" t="str">
        <f>IFERROR(VLOOKUP(AV42,Nómina!B:E,4,0),"")</f>
        <v>PAMELA VERONICA CID NAVIA  </v>
      </c>
      <c r="B42" t="str">
        <f>IFERROR(VLOOKUP(A42,Nómina!E:F,2,0),"")</f>
        <v>8008360-2</v>
      </c>
      <c r="C42" s="30">
        <f t="shared" si="1"/>
        <v>3185</v>
      </c>
      <c r="D42" t="str">
        <f t="shared" si="2"/>
        <v>2026-07-04</v>
      </c>
      <c r="E42" t="str">
        <f t="shared" si="3"/>
        <v>B2C</v>
      </c>
      <c r="F42" t="str">
        <f t="shared" si="4"/>
        <v>Extra</v>
      </c>
      <c r="G42" t="str">
        <f t="shared" si="5"/>
        <v>Pareja</v>
      </c>
      <c r="H42" t="str">
        <f t="shared" si="6"/>
        <v>-</v>
      </c>
      <c r="I42" t="str">
        <f t="shared" si="7"/>
        <v>Extra de transporte</v>
      </c>
      <c r="J42" t="str">
        <f t="shared" si="8"/>
        <v>SANTIAGO DE CHILE</v>
      </c>
      <c r="K42" t="str">
        <f t="shared" si="9"/>
        <v>Ninguno</v>
      </c>
      <c r="L42">
        <f t="shared" si="10"/>
        <v>0</v>
      </c>
      <c r="M42">
        <f t="shared" si="11"/>
        <v>0</v>
      </c>
      <c r="N42" t="str">
        <f t="shared" si="12"/>
        <v/>
      </c>
      <c r="O42" s="10" t="str">
        <f>+VLOOKUP(Z42,listas!$B:$C,2,0)</f>
        <v>B2C</v>
      </c>
      <c r="P42" s="11">
        <f t="shared" si="0"/>
        <v>3990</v>
      </c>
      <c r="Q42" s="11">
        <f t="shared" si="13"/>
        <v>3185</v>
      </c>
      <c r="R42" s="59">
        <f t="shared" si="14"/>
        <v>7</v>
      </c>
      <c r="S42" s="59">
        <f t="shared" si="15"/>
        <v>4</v>
      </c>
      <c r="T42" s="11">
        <f t="shared" si="16"/>
        <v>1</v>
      </c>
      <c r="U42" s="138" t="s">
        <v>80</v>
      </c>
      <c r="V42" s="138" t="s">
        <v>638</v>
      </c>
      <c r="W42" s="138" t="s">
        <v>598</v>
      </c>
      <c r="X42" s="138" t="s">
        <v>630</v>
      </c>
      <c r="Y42" s="138" t="s">
        <v>128</v>
      </c>
      <c r="Z42" s="138" t="s">
        <v>98</v>
      </c>
      <c r="AA42" s="138" t="s">
        <v>99</v>
      </c>
      <c r="AB42" s="138" t="s">
        <v>4</v>
      </c>
      <c r="AC42" s="138" t="s">
        <v>104</v>
      </c>
      <c r="AD42" s="138" t="s">
        <v>119</v>
      </c>
      <c r="AE42" s="138" t="s">
        <v>105</v>
      </c>
      <c r="AF42" s="138" t="s">
        <v>106</v>
      </c>
      <c r="AG42" s="139">
        <v>3990</v>
      </c>
      <c r="AH42" s="139">
        <v>3990</v>
      </c>
      <c r="AI42" s="139">
        <v>0</v>
      </c>
      <c r="AJ42" s="139">
        <v>0</v>
      </c>
      <c r="AK42" s="139">
        <v>3990</v>
      </c>
      <c r="AL42" s="138" t="s">
        <v>86</v>
      </c>
      <c r="AM42" s="138" t="s">
        <v>86</v>
      </c>
      <c r="AN42" s="138" t="s">
        <v>86</v>
      </c>
      <c r="AO42" s="138" t="s">
        <v>86</v>
      </c>
      <c r="AP42" s="138" t="s">
        <v>86</v>
      </c>
      <c r="AQ42" s="138" t="s">
        <v>639</v>
      </c>
      <c r="AR42" s="138" t="s">
        <v>640</v>
      </c>
      <c r="AS42" s="138" t="s">
        <v>108</v>
      </c>
      <c r="AT42" s="138" t="s">
        <v>90</v>
      </c>
      <c r="AU42" s="138" t="s">
        <v>144</v>
      </c>
      <c r="AV42" s="138" t="s">
        <v>19</v>
      </c>
      <c r="AW42" s="138" t="s">
        <v>92</v>
      </c>
      <c r="AX42" s="138" t="s">
        <v>103</v>
      </c>
      <c r="AY42" s="138">
        <v>0</v>
      </c>
      <c r="AZ42" s="138">
        <v>0</v>
      </c>
      <c r="BA42" s="138" t="s">
        <v>86</v>
      </c>
      <c r="BB42" s="140" t="s">
        <v>641</v>
      </c>
      <c r="BC42" s="138" t="s">
        <v>86</v>
      </c>
    </row>
    <row r="43" spans="1:55" ht="14.25" customHeight="1">
      <c r="A43" t="str">
        <f>IFERROR(VLOOKUP(AV43,Nómina!B:E,4,0),"")</f>
        <v>MARIA MAGDALENA CASTRO MORGADO</v>
      </c>
      <c r="B43" t="str">
        <f>IFERROR(VLOOKUP(A43,Nómina!E:F,2,0),"")</f>
        <v>13335240-6</v>
      </c>
      <c r="C43" s="30">
        <f t="shared" si="1"/>
        <v>2521</v>
      </c>
      <c r="D43" t="str">
        <f t="shared" si="2"/>
        <v>2026-07-04</v>
      </c>
      <c r="E43" t="str">
        <f t="shared" si="3"/>
        <v>B2C</v>
      </c>
      <c r="F43" t="str">
        <f t="shared" si="4"/>
        <v>Extra</v>
      </c>
      <c r="G43" t="str">
        <f t="shared" si="5"/>
        <v>Pareja</v>
      </c>
      <c r="H43" t="str">
        <f t="shared" si="6"/>
        <v>-</v>
      </c>
      <c r="I43" t="str">
        <f t="shared" si="7"/>
        <v>Extra por festivo o fin de semana</v>
      </c>
      <c r="J43" t="str">
        <f t="shared" si="8"/>
        <v>SANTIAGO DE CHILE</v>
      </c>
      <c r="K43" t="str">
        <f t="shared" si="9"/>
        <v>Ninguno</v>
      </c>
      <c r="L43">
        <f t="shared" si="10"/>
        <v>0</v>
      </c>
      <c r="M43">
        <f t="shared" si="11"/>
        <v>0</v>
      </c>
      <c r="N43" t="str">
        <f t="shared" si="12"/>
        <v/>
      </c>
      <c r="O43" s="10" t="str">
        <f>+VLOOKUP(Z43,listas!$B:$C,2,0)</f>
        <v>B2C</v>
      </c>
      <c r="P43" s="11">
        <f t="shared" si="0"/>
        <v>5000</v>
      </c>
      <c r="Q43" s="11">
        <f t="shared" si="13"/>
        <v>2521</v>
      </c>
      <c r="R43" s="59">
        <f t="shared" si="14"/>
        <v>7</v>
      </c>
      <c r="S43" s="59">
        <f t="shared" si="15"/>
        <v>4</v>
      </c>
      <c r="T43" s="11">
        <f t="shared" si="16"/>
        <v>1</v>
      </c>
      <c r="U43" s="138" t="s">
        <v>80</v>
      </c>
      <c r="V43" s="138" t="s">
        <v>638</v>
      </c>
      <c r="W43" s="138" t="s">
        <v>598</v>
      </c>
      <c r="X43" s="138" t="s">
        <v>630</v>
      </c>
      <c r="Y43" s="138" t="s">
        <v>128</v>
      </c>
      <c r="Z43" s="138" t="s">
        <v>98</v>
      </c>
      <c r="AA43" s="138" t="s">
        <v>99</v>
      </c>
      <c r="AB43" s="138" t="s">
        <v>4</v>
      </c>
      <c r="AC43" s="138" t="s">
        <v>104</v>
      </c>
      <c r="AD43" s="138" t="s">
        <v>119</v>
      </c>
      <c r="AE43" s="138" t="s">
        <v>105</v>
      </c>
      <c r="AF43" s="138" t="s">
        <v>438</v>
      </c>
      <c r="AG43" s="139">
        <v>5000</v>
      </c>
      <c r="AH43" s="139">
        <v>5000</v>
      </c>
      <c r="AI43" s="139">
        <v>0</v>
      </c>
      <c r="AJ43" s="139">
        <v>0</v>
      </c>
      <c r="AK43" s="139">
        <v>5000</v>
      </c>
      <c r="AL43" s="138" t="s">
        <v>86</v>
      </c>
      <c r="AM43" s="138" t="s">
        <v>86</v>
      </c>
      <c r="AN43" s="138" t="s">
        <v>86</v>
      </c>
      <c r="AO43" s="138" t="s">
        <v>86</v>
      </c>
      <c r="AP43" s="138" t="s">
        <v>86</v>
      </c>
      <c r="AQ43" s="138" t="s">
        <v>639</v>
      </c>
      <c r="AR43" s="138" t="s">
        <v>640</v>
      </c>
      <c r="AS43" s="138" t="s">
        <v>108</v>
      </c>
      <c r="AT43" s="138" t="s">
        <v>90</v>
      </c>
      <c r="AU43" s="138" t="s">
        <v>102</v>
      </c>
      <c r="AV43" s="138" t="s">
        <v>17</v>
      </c>
      <c r="AW43" s="138" t="s">
        <v>92</v>
      </c>
      <c r="AX43" s="138" t="s">
        <v>103</v>
      </c>
      <c r="AY43" s="138">
        <v>0</v>
      </c>
      <c r="AZ43" s="138">
        <v>0</v>
      </c>
      <c r="BA43" s="138" t="s">
        <v>86</v>
      </c>
      <c r="BB43" s="140" t="s">
        <v>641</v>
      </c>
      <c r="BC43" s="138" t="s">
        <v>86</v>
      </c>
    </row>
    <row r="44" spans="1:55" ht="14.25" customHeight="1">
      <c r="A44" t="str">
        <f>IFERROR(VLOOKUP(AV44,Nómina!B:E,4,0),"")</f>
        <v>MARIA MAGDALENA CASTRO MORGADO</v>
      </c>
      <c r="B44" t="str">
        <f>IFERROR(VLOOKUP(A44,Nómina!E:F,2,0),"")</f>
        <v>13335240-6</v>
      </c>
      <c r="C44" s="30">
        <f t="shared" si="1"/>
        <v>3185</v>
      </c>
      <c r="D44" t="str">
        <f t="shared" si="2"/>
        <v>2026-07-04</v>
      </c>
      <c r="E44" t="str">
        <f t="shared" si="3"/>
        <v>B2C</v>
      </c>
      <c r="F44" t="str">
        <f t="shared" si="4"/>
        <v>Extra</v>
      </c>
      <c r="G44" t="str">
        <f t="shared" si="5"/>
        <v>Pareja</v>
      </c>
      <c r="H44" t="str">
        <f t="shared" si="6"/>
        <v>-</v>
      </c>
      <c r="I44" t="str">
        <f t="shared" si="7"/>
        <v>Extra de transporte</v>
      </c>
      <c r="J44" t="str">
        <f t="shared" si="8"/>
        <v>SANTIAGO DE CHILE</v>
      </c>
      <c r="K44" t="str">
        <f t="shared" si="9"/>
        <v>Ninguno</v>
      </c>
      <c r="L44">
        <f t="shared" si="10"/>
        <v>0</v>
      </c>
      <c r="M44">
        <f t="shared" si="11"/>
        <v>0</v>
      </c>
      <c r="N44" t="str">
        <f t="shared" si="12"/>
        <v/>
      </c>
      <c r="O44" s="10" t="str">
        <f>+VLOOKUP(Z44,listas!$B:$C,2,0)</f>
        <v>B2C</v>
      </c>
      <c r="P44" s="11">
        <f t="shared" si="0"/>
        <v>3990</v>
      </c>
      <c r="Q44" s="11">
        <f t="shared" si="13"/>
        <v>3185</v>
      </c>
      <c r="R44" s="59">
        <f t="shared" si="14"/>
        <v>7</v>
      </c>
      <c r="S44" s="59">
        <f t="shared" si="15"/>
        <v>4</v>
      </c>
      <c r="T44" s="11">
        <f t="shared" si="16"/>
        <v>1</v>
      </c>
      <c r="U44" s="138" t="s">
        <v>80</v>
      </c>
      <c r="V44" s="138" t="s">
        <v>638</v>
      </c>
      <c r="W44" s="138" t="s">
        <v>598</v>
      </c>
      <c r="X44" s="138" t="s">
        <v>630</v>
      </c>
      <c r="Y44" s="138" t="s">
        <v>128</v>
      </c>
      <c r="Z44" s="138" t="s">
        <v>98</v>
      </c>
      <c r="AA44" s="138" t="s">
        <v>99</v>
      </c>
      <c r="AB44" s="138" t="s">
        <v>4</v>
      </c>
      <c r="AC44" s="138" t="s">
        <v>104</v>
      </c>
      <c r="AD44" s="138" t="s">
        <v>119</v>
      </c>
      <c r="AE44" s="138" t="s">
        <v>105</v>
      </c>
      <c r="AF44" s="138" t="s">
        <v>106</v>
      </c>
      <c r="AG44" s="139">
        <v>3990</v>
      </c>
      <c r="AH44" s="139">
        <v>3990</v>
      </c>
      <c r="AI44" s="139">
        <v>0</v>
      </c>
      <c r="AJ44" s="139">
        <v>0</v>
      </c>
      <c r="AK44" s="139">
        <v>3990</v>
      </c>
      <c r="AL44" s="138" t="s">
        <v>86</v>
      </c>
      <c r="AM44" s="138" t="s">
        <v>86</v>
      </c>
      <c r="AN44" s="138" t="s">
        <v>86</v>
      </c>
      <c r="AO44" s="138" t="s">
        <v>86</v>
      </c>
      <c r="AP44" s="138" t="s">
        <v>86</v>
      </c>
      <c r="AQ44" s="138" t="s">
        <v>639</v>
      </c>
      <c r="AR44" s="138" t="s">
        <v>640</v>
      </c>
      <c r="AS44" s="138" t="s">
        <v>108</v>
      </c>
      <c r="AT44" s="138" t="s">
        <v>90</v>
      </c>
      <c r="AU44" s="138" t="s">
        <v>102</v>
      </c>
      <c r="AV44" s="138" t="s">
        <v>17</v>
      </c>
      <c r="AW44" s="138" t="s">
        <v>92</v>
      </c>
      <c r="AX44" s="138" t="s">
        <v>103</v>
      </c>
      <c r="AY44" s="138">
        <v>0</v>
      </c>
      <c r="AZ44" s="138">
        <v>0</v>
      </c>
      <c r="BA44" s="138" t="s">
        <v>86</v>
      </c>
      <c r="BB44" s="140" t="s">
        <v>641</v>
      </c>
      <c r="BC44" s="138" t="s">
        <v>86</v>
      </c>
    </row>
    <row r="45" spans="1:55" ht="14.25" customHeight="1">
      <c r="A45" t="str">
        <f>IFERROR(VLOOKUP(AV45,Nómina!B:E,4,0),"")</f>
        <v>PAMELA VERONICA CID NAVIA  </v>
      </c>
      <c r="B45" t="str">
        <f>IFERROR(VLOOKUP(A45,Nómina!E:F,2,0),"")</f>
        <v>8008360-2</v>
      </c>
      <c r="C45" s="30">
        <f t="shared" si="1"/>
        <v>22689</v>
      </c>
      <c r="D45" t="str">
        <f t="shared" si="2"/>
        <v>2026-07-05</v>
      </c>
      <c r="E45" t="str">
        <f t="shared" si="3"/>
        <v>B2C</v>
      </c>
      <c r="F45" t="str">
        <f t="shared" si="4"/>
        <v>Masaje</v>
      </c>
      <c r="G45" t="str">
        <f t="shared" si="5"/>
        <v>Individual</v>
      </c>
      <c r="H45" t="str">
        <f t="shared" si="6"/>
        <v>60min</v>
      </c>
      <c r="I45" t="str">
        <f t="shared" si="7"/>
        <v>Tejido profundo</v>
      </c>
      <c r="J45" t="str">
        <f t="shared" si="8"/>
        <v>PROVIDENCIA</v>
      </c>
      <c r="K45" t="str">
        <f t="shared" si="9"/>
        <v>Ninguno</v>
      </c>
      <c r="L45">
        <f t="shared" si="10"/>
        <v>0</v>
      </c>
      <c r="M45">
        <f t="shared" si="11"/>
        <v>0</v>
      </c>
      <c r="N45" t="str">
        <f t="shared" si="12"/>
        <v/>
      </c>
      <c r="O45" s="10" t="str">
        <f>+VLOOKUP(Z45,listas!$B:$C,2,0)</f>
        <v>B2C</v>
      </c>
      <c r="P45" s="11">
        <f t="shared" si="0"/>
        <v>45000</v>
      </c>
      <c r="Q45" s="11">
        <f t="shared" si="13"/>
        <v>22689</v>
      </c>
      <c r="R45" s="59">
        <f t="shared" si="14"/>
        <v>7</v>
      </c>
      <c r="S45" s="59">
        <f t="shared" si="15"/>
        <v>5</v>
      </c>
      <c r="T45" s="11">
        <f t="shared" si="16"/>
        <v>1</v>
      </c>
      <c r="U45" s="120" t="s">
        <v>80</v>
      </c>
      <c r="V45" s="120" t="s">
        <v>642</v>
      </c>
      <c r="W45" s="120" t="s">
        <v>630</v>
      </c>
      <c r="X45" s="120" t="s">
        <v>643</v>
      </c>
      <c r="Y45" s="120" t="s">
        <v>132</v>
      </c>
      <c r="Z45" s="120" t="s">
        <v>98</v>
      </c>
      <c r="AA45" s="120" t="s">
        <v>99</v>
      </c>
      <c r="AB45" s="120" t="s">
        <v>4</v>
      </c>
      <c r="AC45" s="120" t="s">
        <v>82</v>
      </c>
      <c r="AD45" s="120" t="s">
        <v>83</v>
      </c>
      <c r="AE45" s="120" t="s">
        <v>84</v>
      </c>
      <c r="AF45" s="120" t="s">
        <v>123</v>
      </c>
      <c r="AG45" s="133">
        <v>45000</v>
      </c>
      <c r="AH45" s="133">
        <v>45000</v>
      </c>
      <c r="AI45" s="133">
        <v>0</v>
      </c>
      <c r="AJ45" s="133">
        <v>0</v>
      </c>
      <c r="AK45" s="133">
        <v>27000</v>
      </c>
      <c r="AL45" s="120" t="s">
        <v>86</v>
      </c>
      <c r="AM45" s="120" t="s">
        <v>86</v>
      </c>
      <c r="AN45" s="120" t="s">
        <v>86</v>
      </c>
      <c r="AO45" s="120" t="s">
        <v>86</v>
      </c>
      <c r="AP45" s="120" t="s">
        <v>86</v>
      </c>
      <c r="AQ45" s="120" t="s">
        <v>644</v>
      </c>
      <c r="AR45" s="120" t="s">
        <v>645</v>
      </c>
      <c r="AS45" s="120" t="s">
        <v>143</v>
      </c>
      <c r="AT45" s="120" t="s">
        <v>143</v>
      </c>
      <c r="AU45" s="120" t="s">
        <v>144</v>
      </c>
      <c r="AV45" s="120" t="s">
        <v>19</v>
      </c>
      <c r="AW45" s="120" t="s">
        <v>92</v>
      </c>
      <c r="AX45" s="120" t="s">
        <v>103</v>
      </c>
      <c r="AY45" s="120">
        <v>0</v>
      </c>
      <c r="AZ45" s="120">
        <v>0</v>
      </c>
      <c r="BA45" s="120" t="s">
        <v>86</v>
      </c>
      <c r="BB45" s="134" t="s">
        <v>646</v>
      </c>
      <c r="BC45" s="120" t="s">
        <v>86</v>
      </c>
    </row>
    <row r="46" spans="1:55" ht="14.25" customHeight="1">
      <c r="A46" t="str">
        <f>IFERROR(VLOOKUP(AV46,Nómina!B:E,4,0),"")</f>
        <v>PAMELA VERONICA CID NAVIA  </v>
      </c>
      <c r="B46" t="str">
        <f>IFERROR(VLOOKUP(A46,Nómina!E:F,2,0),"")</f>
        <v>8008360-2</v>
      </c>
      <c r="C46" s="30">
        <f t="shared" si="1"/>
        <v>11092</v>
      </c>
      <c r="D46" t="str">
        <f t="shared" si="2"/>
        <v>2026-07-05</v>
      </c>
      <c r="E46" t="str">
        <f t="shared" si="3"/>
        <v>B2C</v>
      </c>
      <c r="F46" t="str">
        <f t="shared" si="4"/>
        <v>Addon</v>
      </c>
      <c r="G46" t="str">
        <f t="shared" si="5"/>
        <v>Individual</v>
      </c>
      <c r="H46" t="str">
        <f t="shared" si="6"/>
        <v>30min</v>
      </c>
      <c r="I46" t="str">
        <f t="shared" si="7"/>
        <v>Reflexología</v>
      </c>
      <c r="J46" t="str">
        <f t="shared" si="8"/>
        <v>PROVIDENCIA</v>
      </c>
      <c r="K46" t="str">
        <f t="shared" si="9"/>
        <v>Ninguno</v>
      </c>
      <c r="L46">
        <f t="shared" si="10"/>
        <v>0</v>
      </c>
      <c r="M46">
        <f t="shared" si="11"/>
        <v>0</v>
      </c>
      <c r="N46" t="str">
        <f t="shared" si="12"/>
        <v/>
      </c>
      <c r="O46" s="10" t="str">
        <f>+VLOOKUP(Z46,listas!$B:$C,2,0)</f>
        <v>B2C</v>
      </c>
      <c r="P46" s="11">
        <f t="shared" si="0"/>
        <v>22000</v>
      </c>
      <c r="Q46" s="11">
        <f t="shared" si="13"/>
        <v>11092</v>
      </c>
      <c r="R46" s="59">
        <f t="shared" si="14"/>
        <v>7</v>
      </c>
      <c r="S46" s="59">
        <f t="shared" si="15"/>
        <v>5</v>
      </c>
      <c r="T46" s="11">
        <f t="shared" si="16"/>
        <v>1</v>
      </c>
      <c r="U46" s="135" t="s">
        <v>80</v>
      </c>
      <c r="V46" s="135" t="s">
        <v>642</v>
      </c>
      <c r="W46" s="135" t="s">
        <v>630</v>
      </c>
      <c r="X46" s="135" t="s">
        <v>643</v>
      </c>
      <c r="Y46" s="135" t="s">
        <v>132</v>
      </c>
      <c r="Z46" s="135" t="s">
        <v>98</v>
      </c>
      <c r="AA46" s="135" t="s">
        <v>99</v>
      </c>
      <c r="AB46" s="135" t="s">
        <v>4</v>
      </c>
      <c r="AC46" s="135" t="s">
        <v>93</v>
      </c>
      <c r="AD46" s="135" t="s">
        <v>83</v>
      </c>
      <c r="AE46" s="135" t="s">
        <v>126</v>
      </c>
      <c r="AF46" s="135" t="s">
        <v>95</v>
      </c>
      <c r="AG46" s="136">
        <v>22000</v>
      </c>
      <c r="AH46" s="136">
        <v>22000</v>
      </c>
      <c r="AI46" s="136">
        <v>0</v>
      </c>
      <c r="AJ46" s="136">
        <v>0</v>
      </c>
      <c r="AK46" s="136">
        <v>10800</v>
      </c>
      <c r="AL46" s="135" t="s">
        <v>86</v>
      </c>
      <c r="AM46" s="135" t="s">
        <v>86</v>
      </c>
      <c r="AN46" s="135" t="s">
        <v>86</v>
      </c>
      <c r="AO46" s="135" t="s">
        <v>86</v>
      </c>
      <c r="AP46" s="135" t="s">
        <v>86</v>
      </c>
      <c r="AQ46" s="135" t="s">
        <v>644</v>
      </c>
      <c r="AR46" s="135" t="s">
        <v>645</v>
      </c>
      <c r="AS46" s="135" t="s">
        <v>143</v>
      </c>
      <c r="AT46" s="135" t="s">
        <v>143</v>
      </c>
      <c r="AU46" s="135" t="s">
        <v>144</v>
      </c>
      <c r="AV46" s="135" t="s">
        <v>19</v>
      </c>
      <c r="AW46" s="135" t="s">
        <v>92</v>
      </c>
      <c r="AX46" s="135" t="s">
        <v>103</v>
      </c>
      <c r="AY46" s="135">
        <v>0</v>
      </c>
      <c r="AZ46" s="135">
        <v>0</v>
      </c>
      <c r="BA46" s="135" t="s">
        <v>86</v>
      </c>
      <c r="BB46" s="137" t="s">
        <v>646</v>
      </c>
      <c r="BC46" s="135" t="s">
        <v>86</v>
      </c>
    </row>
    <row r="47" spans="1:55" ht="14.25" customHeight="1">
      <c r="A47" t="str">
        <f>IFERROR(VLOOKUP(AV47,Nómina!B:E,4,0),"")</f>
        <v>PAMELA VERONICA CID NAVIA  </v>
      </c>
      <c r="B47" t="str">
        <f>IFERROR(VLOOKUP(A47,Nómina!E:F,2,0),"")</f>
        <v>8008360-2</v>
      </c>
      <c r="C47" s="30">
        <f t="shared" si="1"/>
        <v>2521</v>
      </c>
      <c r="D47" t="str">
        <f t="shared" si="2"/>
        <v>2026-07-05</v>
      </c>
      <c r="E47" t="str">
        <f t="shared" si="3"/>
        <v>B2C</v>
      </c>
      <c r="F47" t="str">
        <f t="shared" si="4"/>
        <v>Extra</v>
      </c>
      <c r="G47" t="str">
        <f t="shared" si="5"/>
        <v>Individual</v>
      </c>
      <c r="H47" t="str">
        <f t="shared" si="6"/>
        <v>-</v>
      </c>
      <c r="I47" t="str">
        <f t="shared" si="7"/>
        <v>Extra por festivo o fin de semana</v>
      </c>
      <c r="J47" t="str">
        <f t="shared" si="8"/>
        <v>PROVIDENCIA</v>
      </c>
      <c r="K47" t="str">
        <f t="shared" si="9"/>
        <v>Ninguno</v>
      </c>
      <c r="L47">
        <f t="shared" si="10"/>
        <v>0</v>
      </c>
      <c r="M47">
        <f t="shared" si="11"/>
        <v>0</v>
      </c>
      <c r="N47" t="str">
        <f t="shared" si="12"/>
        <v/>
      </c>
      <c r="O47" s="10" t="str">
        <f>+VLOOKUP(Z47,listas!$B:$C,2,0)</f>
        <v>B2C</v>
      </c>
      <c r="P47" s="11">
        <f t="shared" si="0"/>
        <v>5000</v>
      </c>
      <c r="Q47" s="11">
        <f t="shared" si="13"/>
        <v>2521</v>
      </c>
      <c r="R47" s="59">
        <f t="shared" si="14"/>
        <v>7</v>
      </c>
      <c r="S47" s="59">
        <f t="shared" si="15"/>
        <v>5</v>
      </c>
      <c r="T47" s="11">
        <f t="shared" si="16"/>
        <v>1</v>
      </c>
      <c r="U47" s="138" t="s">
        <v>80</v>
      </c>
      <c r="V47" s="138" t="s">
        <v>642</v>
      </c>
      <c r="W47" s="138" t="s">
        <v>630</v>
      </c>
      <c r="X47" s="138" t="s">
        <v>643</v>
      </c>
      <c r="Y47" s="138" t="s">
        <v>132</v>
      </c>
      <c r="Z47" s="138" t="s">
        <v>98</v>
      </c>
      <c r="AA47" s="138" t="s">
        <v>99</v>
      </c>
      <c r="AB47" s="138" t="s">
        <v>4</v>
      </c>
      <c r="AC47" s="138" t="s">
        <v>104</v>
      </c>
      <c r="AD47" s="138" t="s">
        <v>83</v>
      </c>
      <c r="AE47" s="138" t="s">
        <v>105</v>
      </c>
      <c r="AF47" s="138" t="s">
        <v>438</v>
      </c>
      <c r="AG47" s="139">
        <v>5000</v>
      </c>
      <c r="AH47" s="139">
        <v>5000</v>
      </c>
      <c r="AI47" s="139">
        <v>0</v>
      </c>
      <c r="AJ47" s="139">
        <v>0</v>
      </c>
      <c r="AK47" s="139">
        <v>5000</v>
      </c>
      <c r="AL47" s="138" t="s">
        <v>86</v>
      </c>
      <c r="AM47" s="138" t="s">
        <v>86</v>
      </c>
      <c r="AN47" s="138" t="s">
        <v>86</v>
      </c>
      <c r="AO47" s="138" t="s">
        <v>86</v>
      </c>
      <c r="AP47" s="138" t="s">
        <v>86</v>
      </c>
      <c r="AQ47" s="138" t="s">
        <v>644</v>
      </c>
      <c r="AR47" s="138" t="s">
        <v>645</v>
      </c>
      <c r="AS47" s="138" t="s">
        <v>143</v>
      </c>
      <c r="AT47" s="138" t="s">
        <v>143</v>
      </c>
      <c r="AU47" s="138" t="s">
        <v>144</v>
      </c>
      <c r="AV47" s="138" t="s">
        <v>19</v>
      </c>
      <c r="AW47" s="138" t="s">
        <v>92</v>
      </c>
      <c r="AX47" s="138" t="s">
        <v>103</v>
      </c>
      <c r="AY47" s="138">
        <v>0</v>
      </c>
      <c r="AZ47" s="138">
        <v>0</v>
      </c>
      <c r="BA47" s="138" t="s">
        <v>86</v>
      </c>
      <c r="BB47" s="140" t="s">
        <v>646</v>
      </c>
      <c r="BC47" s="138" t="s">
        <v>86</v>
      </c>
    </row>
    <row r="48" spans="1:55" ht="14.25" customHeight="1">
      <c r="A48" t="str">
        <f>IFERROR(VLOOKUP(AV48,Nómina!B:E,4,0),"")</f>
        <v>CLAUDIA ALEJANDRA GUZMAN RIGORDI</v>
      </c>
      <c r="B48" t="str">
        <f>IFERROR(VLOOKUP(A48,Nómina!E:F,2,0),"")</f>
        <v>15353076-9</v>
      </c>
      <c r="C48" s="30">
        <f t="shared" si="1"/>
        <v>22689</v>
      </c>
      <c r="D48" t="str">
        <f t="shared" si="2"/>
        <v>2026-07-05</v>
      </c>
      <c r="E48" t="str">
        <f t="shared" si="3"/>
        <v>B2C</v>
      </c>
      <c r="F48" t="str">
        <f t="shared" si="4"/>
        <v>Masaje</v>
      </c>
      <c r="G48" t="str">
        <f t="shared" si="5"/>
        <v>Individual</v>
      </c>
      <c r="H48" t="str">
        <f t="shared" si="6"/>
        <v>60min</v>
      </c>
      <c r="I48" t="str">
        <f t="shared" si="7"/>
        <v>Tejido profundo</v>
      </c>
      <c r="J48" t="str">
        <f t="shared" si="8"/>
        <v>PROVIDENCIA</v>
      </c>
      <c r="K48" t="str">
        <f t="shared" si="9"/>
        <v>Ninguno</v>
      </c>
      <c r="L48">
        <f t="shared" si="10"/>
        <v>0</v>
      </c>
      <c r="M48">
        <f t="shared" si="11"/>
        <v>0</v>
      </c>
      <c r="N48" t="str">
        <f t="shared" si="12"/>
        <v/>
      </c>
      <c r="O48" s="10" t="str">
        <f>+VLOOKUP(Z48,listas!$B:$C,2,0)</f>
        <v>B2C</v>
      </c>
      <c r="P48" s="11">
        <f t="shared" si="0"/>
        <v>45000</v>
      </c>
      <c r="Q48" s="11">
        <f t="shared" si="13"/>
        <v>22689</v>
      </c>
      <c r="R48" s="59">
        <f t="shared" si="14"/>
        <v>7</v>
      </c>
      <c r="S48" s="59">
        <f t="shared" si="15"/>
        <v>5</v>
      </c>
      <c r="T48" s="11">
        <f t="shared" si="16"/>
        <v>1</v>
      </c>
      <c r="U48" s="120" t="s">
        <v>80</v>
      </c>
      <c r="V48" s="120" t="s">
        <v>647</v>
      </c>
      <c r="W48" s="120" t="s">
        <v>643</v>
      </c>
      <c r="X48" s="120" t="s">
        <v>643</v>
      </c>
      <c r="Y48" s="120" t="s">
        <v>111</v>
      </c>
      <c r="Z48" s="120" t="s">
        <v>98</v>
      </c>
      <c r="AA48" s="120" t="s">
        <v>99</v>
      </c>
      <c r="AB48" s="120" t="s">
        <v>4</v>
      </c>
      <c r="AC48" s="120" t="s">
        <v>82</v>
      </c>
      <c r="AD48" s="120" t="s">
        <v>83</v>
      </c>
      <c r="AE48" s="120" t="s">
        <v>84</v>
      </c>
      <c r="AF48" s="120" t="s">
        <v>123</v>
      </c>
      <c r="AG48" s="133">
        <v>45000</v>
      </c>
      <c r="AH48" s="133">
        <v>45000</v>
      </c>
      <c r="AI48" s="133">
        <v>0</v>
      </c>
      <c r="AJ48" s="133">
        <v>0</v>
      </c>
      <c r="AK48" s="133">
        <v>27000</v>
      </c>
      <c r="AL48" s="120" t="s">
        <v>86</v>
      </c>
      <c r="AM48" s="120" t="s">
        <v>86</v>
      </c>
      <c r="AN48" s="120" t="s">
        <v>86</v>
      </c>
      <c r="AO48" s="120" t="s">
        <v>86</v>
      </c>
      <c r="AP48" s="120" t="s">
        <v>86</v>
      </c>
      <c r="AQ48" s="120" t="s">
        <v>514</v>
      </c>
      <c r="AR48" s="120" t="s">
        <v>526</v>
      </c>
      <c r="AS48" s="120" t="s">
        <v>143</v>
      </c>
      <c r="AT48" s="120" t="s">
        <v>143</v>
      </c>
      <c r="AU48" s="120" t="s">
        <v>157</v>
      </c>
      <c r="AV48" s="120" t="s">
        <v>9</v>
      </c>
      <c r="AW48" s="120" t="s">
        <v>92</v>
      </c>
      <c r="AX48" s="120" t="s">
        <v>103</v>
      </c>
      <c r="AY48" s="120">
        <v>0</v>
      </c>
      <c r="AZ48" s="120">
        <v>0</v>
      </c>
      <c r="BA48" s="120" t="s">
        <v>86</v>
      </c>
      <c r="BB48" s="134" t="s">
        <v>648</v>
      </c>
      <c r="BC48" s="120" t="s">
        <v>86</v>
      </c>
    </row>
    <row r="49" spans="1:55" ht="14.25" customHeight="1">
      <c r="A49" t="str">
        <f>IFERROR(VLOOKUP(AV49,Nómina!B:E,4,0),"")</f>
        <v>CLAUDIA ALEJANDRA GUZMAN RIGORDI</v>
      </c>
      <c r="B49" t="str">
        <f>IFERROR(VLOOKUP(A49,Nómina!E:F,2,0),"")</f>
        <v>15353076-9</v>
      </c>
      <c r="C49" s="30">
        <f t="shared" si="1"/>
        <v>6050</v>
      </c>
      <c r="D49" t="str">
        <f t="shared" si="2"/>
        <v>2026-07-05</v>
      </c>
      <c r="E49" t="str">
        <f t="shared" si="3"/>
        <v>B2C</v>
      </c>
      <c r="F49" t="str">
        <f t="shared" si="4"/>
        <v>Addon</v>
      </c>
      <c r="G49" t="str">
        <f t="shared" si="5"/>
        <v>Individual</v>
      </c>
      <c r="H49" t="str">
        <f t="shared" si="6"/>
        <v>15min</v>
      </c>
      <c r="I49" t="str">
        <f t="shared" si="7"/>
        <v>Craneofacial</v>
      </c>
      <c r="J49" t="str">
        <f t="shared" si="8"/>
        <v>PROVIDENCIA</v>
      </c>
      <c r="K49" t="str">
        <f t="shared" si="9"/>
        <v>Ninguno</v>
      </c>
      <c r="L49">
        <f t="shared" si="10"/>
        <v>0</v>
      </c>
      <c r="M49">
        <f t="shared" si="11"/>
        <v>0</v>
      </c>
      <c r="N49" t="str">
        <f t="shared" si="12"/>
        <v/>
      </c>
      <c r="O49" s="10" t="str">
        <f>+VLOOKUP(Z49,listas!$B:$C,2,0)</f>
        <v>B2C</v>
      </c>
      <c r="P49" s="11">
        <f t="shared" si="0"/>
        <v>12000</v>
      </c>
      <c r="Q49" s="11">
        <f t="shared" si="13"/>
        <v>6050</v>
      </c>
      <c r="R49" s="59">
        <f t="shared" si="14"/>
        <v>7</v>
      </c>
      <c r="S49" s="59">
        <f t="shared" si="15"/>
        <v>5</v>
      </c>
      <c r="T49" s="11">
        <f t="shared" si="16"/>
        <v>1</v>
      </c>
      <c r="U49" s="135" t="s">
        <v>80</v>
      </c>
      <c r="V49" s="135" t="s">
        <v>647</v>
      </c>
      <c r="W49" s="135" t="s">
        <v>643</v>
      </c>
      <c r="X49" s="135" t="s">
        <v>643</v>
      </c>
      <c r="Y49" s="135" t="s">
        <v>111</v>
      </c>
      <c r="Z49" s="135" t="s">
        <v>98</v>
      </c>
      <c r="AA49" s="135" t="s">
        <v>99</v>
      </c>
      <c r="AB49" s="135" t="s">
        <v>4</v>
      </c>
      <c r="AC49" s="135" t="s">
        <v>93</v>
      </c>
      <c r="AD49" s="135" t="s">
        <v>83</v>
      </c>
      <c r="AE49" s="135" t="s">
        <v>94</v>
      </c>
      <c r="AF49" s="135" t="s">
        <v>96</v>
      </c>
      <c r="AG49" s="136">
        <v>12000</v>
      </c>
      <c r="AH49" s="136">
        <v>12000</v>
      </c>
      <c r="AI49" s="136">
        <v>0</v>
      </c>
      <c r="AJ49" s="136">
        <v>0</v>
      </c>
      <c r="AK49" s="136">
        <v>6000</v>
      </c>
      <c r="AL49" s="135" t="s">
        <v>86</v>
      </c>
      <c r="AM49" s="135" t="s">
        <v>86</v>
      </c>
      <c r="AN49" s="135" t="s">
        <v>86</v>
      </c>
      <c r="AO49" s="135" t="s">
        <v>86</v>
      </c>
      <c r="AP49" s="135" t="s">
        <v>86</v>
      </c>
      <c r="AQ49" s="135" t="s">
        <v>514</v>
      </c>
      <c r="AR49" s="135" t="s">
        <v>526</v>
      </c>
      <c r="AS49" s="135" t="s">
        <v>143</v>
      </c>
      <c r="AT49" s="135" t="s">
        <v>143</v>
      </c>
      <c r="AU49" s="135" t="s">
        <v>157</v>
      </c>
      <c r="AV49" s="135" t="s">
        <v>9</v>
      </c>
      <c r="AW49" s="135" t="s">
        <v>92</v>
      </c>
      <c r="AX49" s="135" t="s">
        <v>103</v>
      </c>
      <c r="AY49" s="135">
        <v>0</v>
      </c>
      <c r="AZ49" s="135">
        <v>0</v>
      </c>
      <c r="BA49" s="135" t="s">
        <v>86</v>
      </c>
      <c r="BB49" s="137" t="s">
        <v>648</v>
      </c>
      <c r="BC49" s="135" t="s">
        <v>86</v>
      </c>
    </row>
    <row r="50" spans="1:55" ht="14.25" customHeight="1">
      <c r="A50" t="str">
        <f>IFERROR(VLOOKUP(AV50,Nómina!B:E,4,0),"")</f>
        <v>CLAUDIA ALEJANDRA GUZMAN RIGORDI</v>
      </c>
      <c r="B50" t="str">
        <f>IFERROR(VLOOKUP(A50,Nómina!E:F,2,0),"")</f>
        <v>15353076-9</v>
      </c>
      <c r="C50" s="30">
        <f t="shared" si="1"/>
        <v>2521</v>
      </c>
      <c r="D50" t="str">
        <f t="shared" si="2"/>
        <v>2026-07-05</v>
      </c>
      <c r="E50" t="str">
        <f t="shared" si="3"/>
        <v>B2C</v>
      </c>
      <c r="F50" t="str">
        <f t="shared" si="4"/>
        <v>Extra</v>
      </c>
      <c r="G50" t="str">
        <f t="shared" si="5"/>
        <v>Individual</v>
      </c>
      <c r="H50" t="str">
        <f t="shared" si="6"/>
        <v>-</v>
      </c>
      <c r="I50" t="str">
        <f t="shared" si="7"/>
        <v>Extra por festivo o fin de semana</v>
      </c>
      <c r="J50" t="str">
        <f t="shared" si="8"/>
        <v>PROVIDENCIA</v>
      </c>
      <c r="K50" t="str">
        <f t="shared" si="9"/>
        <v>Ninguno</v>
      </c>
      <c r="L50">
        <f t="shared" si="10"/>
        <v>0</v>
      </c>
      <c r="M50">
        <f t="shared" si="11"/>
        <v>0</v>
      </c>
      <c r="N50" t="str">
        <f t="shared" si="12"/>
        <v/>
      </c>
      <c r="O50" s="10" t="str">
        <f>+VLOOKUP(Z50,listas!$B:$C,2,0)</f>
        <v>B2C</v>
      </c>
      <c r="P50" s="11">
        <f t="shared" si="0"/>
        <v>5000</v>
      </c>
      <c r="Q50" s="11">
        <f t="shared" si="13"/>
        <v>2521</v>
      </c>
      <c r="R50" s="59">
        <f t="shared" si="14"/>
        <v>7</v>
      </c>
      <c r="S50" s="59">
        <f t="shared" si="15"/>
        <v>5</v>
      </c>
      <c r="T50" s="11">
        <f t="shared" si="16"/>
        <v>1</v>
      </c>
      <c r="U50" s="138" t="s">
        <v>80</v>
      </c>
      <c r="V50" s="138" t="s">
        <v>647</v>
      </c>
      <c r="W50" s="138" t="s">
        <v>643</v>
      </c>
      <c r="X50" s="138" t="s">
        <v>643</v>
      </c>
      <c r="Y50" s="138" t="s">
        <v>111</v>
      </c>
      <c r="Z50" s="138" t="s">
        <v>98</v>
      </c>
      <c r="AA50" s="138" t="s">
        <v>99</v>
      </c>
      <c r="AB50" s="138" t="s">
        <v>4</v>
      </c>
      <c r="AC50" s="138" t="s">
        <v>104</v>
      </c>
      <c r="AD50" s="138" t="s">
        <v>83</v>
      </c>
      <c r="AE50" s="138" t="s">
        <v>105</v>
      </c>
      <c r="AF50" s="138" t="s">
        <v>438</v>
      </c>
      <c r="AG50" s="139">
        <v>5000</v>
      </c>
      <c r="AH50" s="139">
        <v>5000</v>
      </c>
      <c r="AI50" s="139">
        <v>0</v>
      </c>
      <c r="AJ50" s="139">
        <v>0</v>
      </c>
      <c r="AK50" s="139">
        <v>5000</v>
      </c>
      <c r="AL50" s="138" t="s">
        <v>86</v>
      </c>
      <c r="AM50" s="138" t="s">
        <v>86</v>
      </c>
      <c r="AN50" s="138" t="s">
        <v>86</v>
      </c>
      <c r="AO50" s="138" t="s">
        <v>86</v>
      </c>
      <c r="AP50" s="138" t="s">
        <v>86</v>
      </c>
      <c r="AQ50" s="138" t="s">
        <v>514</v>
      </c>
      <c r="AR50" s="138" t="s">
        <v>526</v>
      </c>
      <c r="AS50" s="138" t="s">
        <v>143</v>
      </c>
      <c r="AT50" s="138" t="s">
        <v>143</v>
      </c>
      <c r="AU50" s="138" t="s">
        <v>157</v>
      </c>
      <c r="AV50" s="138" t="s">
        <v>9</v>
      </c>
      <c r="AW50" s="138" t="s">
        <v>92</v>
      </c>
      <c r="AX50" s="138" t="s">
        <v>103</v>
      </c>
      <c r="AY50" s="138">
        <v>0</v>
      </c>
      <c r="AZ50" s="138">
        <v>0</v>
      </c>
      <c r="BA50" s="138" t="s">
        <v>86</v>
      </c>
      <c r="BB50" s="140" t="s">
        <v>648</v>
      </c>
      <c r="BC50" s="138" t="s">
        <v>86</v>
      </c>
    </row>
    <row r="51" spans="1:55" ht="14.25" customHeight="1">
      <c r="A51" t="str">
        <f>IFERROR(VLOOKUP(AV51,Nómina!B:E,4,0),"")</f>
        <v>CLAUDIA ALEJANDRA GUZMAN RIGORDI</v>
      </c>
      <c r="B51" t="str">
        <f>IFERROR(VLOOKUP(A51,Nómina!E:F,2,0),"")</f>
        <v>15353076-9</v>
      </c>
      <c r="C51" s="30">
        <f t="shared" si="1"/>
        <v>22689</v>
      </c>
      <c r="D51" t="str">
        <f t="shared" si="2"/>
        <v>2026-07-05</v>
      </c>
      <c r="E51" t="str">
        <f t="shared" si="3"/>
        <v>B2C</v>
      </c>
      <c r="F51" t="str">
        <f t="shared" si="4"/>
        <v>Masaje</v>
      </c>
      <c r="G51" t="str">
        <f t="shared" si="5"/>
        <v>Individual</v>
      </c>
      <c r="H51" t="str">
        <f t="shared" si="6"/>
        <v>60min</v>
      </c>
      <c r="I51" t="str">
        <f t="shared" si="7"/>
        <v>Tejido profundo</v>
      </c>
      <c r="J51" t="str">
        <f t="shared" si="8"/>
        <v>LAS CONDES</v>
      </c>
      <c r="K51" t="str">
        <f t="shared" si="9"/>
        <v>Ninguno</v>
      </c>
      <c r="L51">
        <f t="shared" si="10"/>
        <v>0</v>
      </c>
      <c r="M51">
        <f t="shared" si="11"/>
        <v>0</v>
      </c>
      <c r="N51" t="str">
        <f t="shared" si="12"/>
        <v/>
      </c>
      <c r="O51" s="10" t="str">
        <f>+VLOOKUP(Z51,listas!$B:$C,2,0)</f>
        <v>B2C</v>
      </c>
      <c r="P51" s="11">
        <f t="shared" si="0"/>
        <v>45000</v>
      </c>
      <c r="Q51" s="11">
        <f t="shared" si="13"/>
        <v>22689</v>
      </c>
      <c r="R51" s="59">
        <f t="shared" si="14"/>
        <v>7</v>
      </c>
      <c r="S51" s="59">
        <f t="shared" si="15"/>
        <v>5</v>
      </c>
      <c r="T51" s="11">
        <f t="shared" si="16"/>
        <v>1</v>
      </c>
      <c r="U51" s="120" t="s">
        <v>80</v>
      </c>
      <c r="V51" s="120" t="s">
        <v>649</v>
      </c>
      <c r="W51" s="120" t="s">
        <v>643</v>
      </c>
      <c r="X51" s="120" t="s">
        <v>643</v>
      </c>
      <c r="Y51" s="120" t="s">
        <v>650</v>
      </c>
      <c r="Z51" s="120" t="s">
        <v>98</v>
      </c>
      <c r="AA51" s="120" t="s">
        <v>99</v>
      </c>
      <c r="AB51" s="120" t="s">
        <v>4</v>
      </c>
      <c r="AC51" s="120" t="s">
        <v>82</v>
      </c>
      <c r="AD51" s="120" t="s">
        <v>83</v>
      </c>
      <c r="AE51" s="120" t="s">
        <v>84</v>
      </c>
      <c r="AF51" s="120" t="s">
        <v>123</v>
      </c>
      <c r="AG51" s="133">
        <v>45000</v>
      </c>
      <c r="AH51" s="133">
        <v>45000</v>
      </c>
      <c r="AI51" s="133">
        <v>0</v>
      </c>
      <c r="AJ51" s="133">
        <v>0</v>
      </c>
      <c r="AK51" s="133">
        <v>27000</v>
      </c>
      <c r="AL51" s="120" t="s">
        <v>86</v>
      </c>
      <c r="AM51" s="120" t="s">
        <v>86</v>
      </c>
      <c r="AN51" s="120" t="s">
        <v>86</v>
      </c>
      <c r="AO51" s="120" t="s">
        <v>86</v>
      </c>
      <c r="AP51" s="120" t="s">
        <v>86</v>
      </c>
      <c r="AQ51" s="120" t="s">
        <v>557</v>
      </c>
      <c r="AR51" s="120" t="s">
        <v>558</v>
      </c>
      <c r="AS51" s="120" t="s">
        <v>89</v>
      </c>
      <c r="AT51" s="120" t="s">
        <v>89</v>
      </c>
      <c r="AU51" s="120" t="s">
        <v>157</v>
      </c>
      <c r="AV51" s="120" t="s">
        <v>9</v>
      </c>
      <c r="AW51" s="120" t="s">
        <v>92</v>
      </c>
      <c r="AX51" s="120" t="s">
        <v>103</v>
      </c>
      <c r="AY51" s="120">
        <v>0</v>
      </c>
      <c r="AZ51" s="120">
        <v>0</v>
      </c>
      <c r="BA51" s="120" t="s">
        <v>86</v>
      </c>
      <c r="BB51" s="134" t="s">
        <v>651</v>
      </c>
      <c r="BC51" s="120" t="s">
        <v>86</v>
      </c>
    </row>
    <row r="52" spans="1:55" ht="14.25" customHeight="1">
      <c r="A52" t="str">
        <f>IFERROR(VLOOKUP(AV52,Nómina!B:E,4,0),"")</f>
        <v>CLAUDIA ALEJANDRA GUZMAN RIGORDI</v>
      </c>
      <c r="B52" t="str">
        <f>IFERROR(VLOOKUP(A52,Nómina!E:F,2,0),"")</f>
        <v>15353076-9</v>
      </c>
      <c r="C52" s="30">
        <f t="shared" si="1"/>
        <v>5042</v>
      </c>
      <c r="D52" t="str">
        <f t="shared" si="2"/>
        <v>2026-07-05</v>
      </c>
      <c r="E52" t="str">
        <f t="shared" si="3"/>
        <v>B2C</v>
      </c>
      <c r="F52" t="str">
        <f t="shared" si="4"/>
        <v>Addon</v>
      </c>
      <c r="G52" t="str">
        <f t="shared" si="5"/>
        <v>Individual</v>
      </c>
      <c r="H52" t="str">
        <f t="shared" si="6"/>
        <v>15min</v>
      </c>
      <c r="I52" t="str">
        <f t="shared" si="7"/>
        <v>Masaje Tiempo Extra</v>
      </c>
      <c r="J52" t="str">
        <f t="shared" si="8"/>
        <v>LAS CONDES</v>
      </c>
      <c r="K52" t="str">
        <f t="shared" si="9"/>
        <v>Ninguno</v>
      </c>
      <c r="L52">
        <f t="shared" si="10"/>
        <v>0</v>
      </c>
      <c r="M52">
        <f t="shared" si="11"/>
        <v>0</v>
      </c>
      <c r="N52" t="str">
        <f t="shared" si="12"/>
        <v/>
      </c>
      <c r="O52" s="10" t="str">
        <f>+VLOOKUP(Z52,listas!$B:$C,2,0)</f>
        <v>B2C</v>
      </c>
      <c r="P52" s="11">
        <f t="shared" si="0"/>
        <v>10000</v>
      </c>
      <c r="Q52" s="11">
        <f t="shared" si="13"/>
        <v>5042</v>
      </c>
      <c r="R52" s="59">
        <f t="shared" si="14"/>
        <v>7</v>
      </c>
      <c r="S52" s="59">
        <f t="shared" si="15"/>
        <v>5</v>
      </c>
      <c r="T52" s="11">
        <f t="shared" si="16"/>
        <v>1</v>
      </c>
      <c r="U52" s="135" t="s">
        <v>80</v>
      </c>
      <c r="V52" s="135" t="s">
        <v>649</v>
      </c>
      <c r="W52" s="135" t="s">
        <v>643</v>
      </c>
      <c r="X52" s="135" t="s">
        <v>643</v>
      </c>
      <c r="Y52" s="135" t="s">
        <v>650</v>
      </c>
      <c r="Z52" s="135" t="s">
        <v>98</v>
      </c>
      <c r="AA52" s="135" t="s">
        <v>99</v>
      </c>
      <c r="AB52" s="135" t="s">
        <v>4</v>
      </c>
      <c r="AC52" s="135" t="s">
        <v>93</v>
      </c>
      <c r="AD52" s="135" t="s">
        <v>83</v>
      </c>
      <c r="AE52" s="135" t="s">
        <v>94</v>
      </c>
      <c r="AF52" s="135" t="s">
        <v>127</v>
      </c>
      <c r="AG52" s="136">
        <v>10000</v>
      </c>
      <c r="AH52" s="136">
        <v>10000</v>
      </c>
      <c r="AI52" s="136">
        <v>0</v>
      </c>
      <c r="AJ52" s="136">
        <v>0</v>
      </c>
      <c r="AK52" s="136">
        <v>6000</v>
      </c>
      <c r="AL52" s="135" t="s">
        <v>86</v>
      </c>
      <c r="AM52" s="135" t="s">
        <v>86</v>
      </c>
      <c r="AN52" s="135" t="s">
        <v>86</v>
      </c>
      <c r="AO52" s="135" t="s">
        <v>86</v>
      </c>
      <c r="AP52" s="135" t="s">
        <v>86</v>
      </c>
      <c r="AQ52" s="135" t="s">
        <v>557</v>
      </c>
      <c r="AR52" s="135" t="s">
        <v>558</v>
      </c>
      <c r="AS52" s="135" t="s">
        <v>89</v>
      </c>
      <c r="AT52" s="135" t="s">
        <v>89</v>
      </c>
      <c r="AU52" s="135" t="s">
        <v>157</v>
      </c>
      <c r="AV52" s="135" t="s">
        <v>9</v>
      </c>
      <c r="AW52" s="135" t="s">
        <v>92</v>
      </c>
      <c r="AX52" s="135" t="s">
        <v>103</v>
      </c>
      <c r="AY52" s="135">
        <v>0</v>
      </c>
      <c r="AZ52" s="135">
        <v>0</v>
      </c>
      <c r="BA52" s="135" t="s">
        <v>86</v>
      </c>
      <c r="BB52" s="137" t="s">
        <v>651</v>
      </c>
      <c r="BC52" s="135" t="s">
        <v>86</v>
      </c>
    </row>
    <row r="53" spans="1:55" ht="14.25" customHeight="1">
      <c r="A53" t="str">
        <f>IFERROR(VLOOKUP(AV53,Nómina!B:E,4,0),"")</f>
        <v>CLAUDIA ALEJANDRA GUZMAN RIGORDI</v>
      </c>
      <c r="B53" t="str">
        <f>IFERROR(VLOOKUP(A53,Nómina!E:F,2,0),"")</f>
        <v>15353076-9</v>
      </c>
      <c r="C53" s="30">
        <f t="shared" si="1"/>
        <v>2521</v>
      </c>
      <c r="D53" t="str">
        <f t="shared" si="2"/>
        <v>2026-07-05</v>
      </c>
      <c r="E53" t="str">
        <f t="shared" si="3"/>
        <v>B2C</v>
      </c>
      <c r="F53" t="str">
        <f t="shared" si="4"/>
        <v>Extra</v>
      </c>
      <c r="G53" t="str">
        <f t="shared" si="5"/>
        <v>Individual</v>
      </c>
      <c r="H53" t="str">
        <f t="shared" si="6"/>
        <v>-</v>
      </c>
      <c r="I53" t="str">
        <f t="shared" si="7"/>
        <v>Extra por festivo o fin de semana</v>
      </c>
      <c r="J53" t="str">
        <f t="shared" si="8"/>
        <v>LAS CONDES</v>
      </c>
      <c r="K53" t="str">
        <f t="shared" si="9"/>
        <v>Ninguno</v>
      </c>
      <c r="L53">
        <f t="shared" si="10"/>
        <v>0</v>
      </c>
      <c r="M53">
        <f t="shared" si="11"/>
        <v>0</v>
      </c>
      <c r="N53" t="str">
        <f t="shared" si="12"/>
        <v/>
      </c>
      <c r="O53" s="10" t="str">
        <f>+VLOOKUP(Z53,listas!$B:$C,2,0)</f>
        <v>B2C</v>
      </c>
      <c r="P53" s="11">
        <f t="shared" si="0"/>
        <v>5000</v>
      </c>
      <c r="Q53" s="11">
        <f t="shared" si="13"/>
        <v>2521</v>
      </c>
      <c r="R53" s="59">
        <f t="shared" si="14"/>
        <v>7</v>
      </c>
      <c r="S53" s="59">
        <f t="shared" si="15"/>
        <v>5</v>
      </c>
      <c r="T53" s="11">
        <f t="shared" si="16"/>
        <v>1</v>
      </c>
      <c r="U53" s="138" t="s">
        <v>80</v>
      </c>
      <c r="V53" s="138" t="s">
        <v>649</v>
      </c>
      <c r="W53" s="138" t="s">
        <v>643</v>
      </c>
      <c r="X53" s="138" t="s">
        <v>643</v>
      </c>
      <c r="Y53" s="138" t="s">
        <v>650</v>
      </c>
      <c r="Z53" s="138" t="s">
        <v>98</v>
      </c>
      <c r="AA53" s="138" t="s">
        <v>99</v>
      </c>
      <c r="AB53" s="138" t="s">
        <v>4</v>
      </c>
      <c r="AC53" s="138" t="s">
        <v>104</v>
      </c>
      <c r="AD53" s="138" t="s">
        <v>83</v>
      </c>
      <c r="AE53" s="138" t="s">
        <v>105</v>
      </c>
      <c r="AF53" s="138" t="s">
        <v>438</v>
      </c>
      <c r="AG53" s="139">
        <v>5000</v>
      </c>
      <c r="AH53" s="139">
        <v>5000</v>
      </c>
      <c r="AI53" s="139">
        <v>0</v>
      </c>
      <c r="AJ53" s="139">
        <v>0</v>
      </c>
      <c r="AK53" s="139">
        <v>5000</v>
      </c>
      <c r="AL53" s="138" t="s">
        <v>86</v>
      </c>
      <c r="AM53" s="138" t="s">
        <v>86</v>
      </c>
      <c r="AN53" s="138" t="s">
        <v>86</v>
      </c>
      <c r="AO53" s="138" t="s">
        <v>86</v>
      </c>
      <c r="AP53" s="138" t="s">
        <v>86</v>
      </c>
      <c r="AQ53" s="138" t="s">
        <v>557</v>
      </c>
      <c r="AR53" s="138" t="s">
        <v>558</v>
      </c>
      <c r="AS53" s="138" t="s">
        <v>89</v>
      </c>
      <c r="AT53" s="138" t="s">
        <v>89</v>
      </c>
      <c r="AU53" s="138" t="s">
        <v>157</v>
      </c>
      <c r="AV53" s="138" t="s">
        <v>9</v>
      </c>
      <c r="AW53" s="138" t="s">
        <v>92</v>
      </c>
      <c r="AX53" s="138" t="s">
        <v>103</v>
      </c>
      <c r="AY53" s="138">
        <v>0</v>
      </c>
      <c r="AZ53" s="138">
        <v>0</v>
      </c>
      <c r="BA53" s="138" t="s">
        <v>86</v>
      </c>
      <c r="BB53" s="140" t="s">
        <v>651</v>
      </c>
      <c r="BC53" s="138" t="s">
        <v>86</v>
      </c>
    </row>
    <row r="54" spans="1:55" ht="14.25" customHeight="1">
      <c r="A54" t="str">
        <f>IFERROR(VLOOKUP(AV54,Nómina!B:E,4,0),"")</f>
        <v>MARCIA ANGELICA VILLEGAS BARRIOS</v>
      </c>
      <c r="B54" t="str">
        <f>IFERROR(VLOOKUP(A54,Nómina!E:F,2,0),"")</f>
        <v>17003238-1</v>
      </c>
      <c r="C54" s="30">
        <f t="shared" si="1"/>
        <v>22689</v>
      </c>
      <c r="D54" t="str">
        <f t="shared" si="2"/>
        <v>2026-07-06</v>
      </c>
      <c r="E54" t="str">
        <f t="shared" si="3"/>
        <v>B2C</v>
      </c>
      <c r="F54" t="str">
        <f t="shared" si="4"/>
        <v>Masaje</v>
      </c>
      <c r="G54" t="str">
        <f t="shared" si="5"/>
        <v>Individual</v>
      </c>
      <c r="H54" t="str">
        <f t="shared" si="6"/>
        <v>60min</v>
      </c>
      <c r="I54" t="str">
        <f t="shared" si="7"/>
        <v>Drenaje Linfático</v>
      </c>
      <c r="J54" t="str">
        <f t="shared" si="8"/>
        <v>LA REINA</v>
      </c>
      <c r="K54" t="str">
        <f t="shared" si="9"/>
        <v>Ninguno</v>
      </c>
      <c r="L54">
        <f t="shared" si="10"/>
        <v>0</v>
      </c>
      <c r="M54">
        <f t="shared" si="11"/>
        <v>0</v>
      </c>
      <c r="N54" t="str">
        <f t="shared" si="12"/>
        <v/>
      </c>
      <c r="O54" s="10" t="str">
        <f>+VLOOKUP(Z54,listas!$B:$C,2,0)</f>
        <v>B2C</v>
      </c>
      <c r="P54" s="11">
        <f t="shared" si="0"/>
        <v>45000</v>
      </c>
      <c r="Q54" s="11">
        <f t="shared" si="13"/>
        <v>22689</v>
      </c>
      <c r="R54" s="59">
        <f t="shared" si="14"/>
        <v>7</v>
      </c>
      <c r="S54" s="59">
        <f t="shared" si="15"/>
        <v>6</v>
      </c>
      <c r="T54" s="11">
        <f t="shared" si="16"/>
        <v>1</v>
      </c>
      <c r="U54" s="120" t="s">
        <v>80</v>
      </c>
      <c r="V54" s="120" t="s">
        <v>652</v>
      </c>
      <c r="W54" s="120" t="s">
        <v>653</v>
      </c>
      <c r="X54" s="120" t="s">
        <v>653</v>
      </c>
      <c r="Y54" s="120" t="s">
        <v>539</v>
      </c>
      <c r="Z54" s="120" t="s">
        <v>98</v>
      </c>
      <c r="AA54" s="120" t="s">
        <v>99</v>
      </c>
      <c r="AB54" s="120" t="s">
        <v>4</v>
      </c>
      <c r="AC54" s="120" t="s">
        <v>82</v>
      </c>
      <c r="AD54" s="120" t="s">
        <v>83</v>
      </c>
      <c r="AE54" s="120" t="s">
        <v>84</v>
      </c>
      <c r="AF54" s="120" t="s">
        <v>129</v>
      </c>
      <c r="AG54" s="133">
        <v>45000</v>
      </c>
      <c r="AH54" s="133">
        <v>45000</v>
      </c>
      <c r="AI54" s="133">
        <v>0</v>
      </c>
      <c r="AJ54" s="133">
        <v>0</v>
      </c>
      <c r="AK54" s="133">
        <v>27000</v>
      </c>
      <c r="AL54" s="120" t="s">
        <v>86</v>
      </c>
      <c r="AM54" s="120" t="s">
        <v>86</v>
      </c>
      <c r="AN54" s="120" t="s">
        <v>86</v>
      </c>
      <c r="AO54" s="120" t="s">
        <v>86</v>
      </c>
      <c r="AP54" s="120" t="s">
        <v>86</v>
      </c>
      <c r="AQ54" s="120" t="s">
        <v>654</v>
      </c>
      <c r="AR54" s="120" t="s">
        <v>655</v>
      </c>
      <c r="AS54" s="120" t="s">
        <v>171</v>
      </c>
      <c r="AT54" s="120" t="s">
        <v>171</v>
      </c>
      <c r="AU54" s="120" t="s">
        <v>285</v>
      </c>
      <c r="AV54" s="120" t="s">
        <v>43</v>
      </c>
      <c r="AW54" s="120" t="s">
        <v>92</v>
      </c>
      <c r="AX54" s="120" t="s">
        <v>103</v>
      </c>
      <c r="AY54" s="120">
        <v>0</v>
      </c>
      <c r="AZ54" s="120">
        <v>0</v>
      </c>
      <c r="BA54" s="120" t="s">
        <v>86</v>
      </c>
      <c r="BB54" s="134" t="s">
        <v>656</v>
      </c>
      <c r="BC54" s="120" t="s">
        <v>86</v>
      </c>
    </row>
    <row r="55" spans="1:55" ht="14.25" customHeight="1">
      <c r="A55" t="str">
        <f>IFERROR(VLOOKUP(AV55,Nómina!B:E,4,0),"")</f>
        <v>MARCIA ANGELICA VILLEGAS BARRIOS</v>
      </c>
      <c r="B55" t="str">
        <f>IFERROR(VLOOKUP(A55,Nómina!E:F,2,0),"")</f>
        <v>17003238-1</v>
      </c>
      <c r="C55" s="30">
        <f t="shared" si="1"/>
        <v>5042</v>
      </c>
      <c r="D55" t="str">
        <f t="shared" si="2"/>
        <v>2026-07-06</v>
      </c>
      <c r="E55" t="str">
        <f t="shared" si="3"/>
        <v>B2C</v>
      </c>
      <c r="F55" t="str">
        <f t="shared" si="4"/>
        <v>Addon</v>
      </c>
      <c r="G55" t="str">
        <f t="shared" si="5"/>
        <v>Individual</v>
      </c>
      <c r="H55" t="str">
        <f t="shared" si="6"/>
        <v>15min</v>
      </c>
      <c r="I55" t="str">
        <f t="shared" si="7"/>
        <v>Reflexología</v>
      </c>
      <c r="J55" t="str">
        <f t="shared" si="8"/>
        <v>LA REINA</v>
      </c>
      <c r="K55" t="str">
        <f t="shared" si="9"/>
        <v>Ninguno</v>
      </c>
      <c r="L55">
        <f t="shared" si="10"/>
        <v>0</v>
      </c>
      <c r="M55">
        <f t="shared" si="11"/>
        <v>0</v>
      </c>
      <c r="N55" t="str">
        <f t="shared" si="12"/>
        <v/>
      </c>
      <c r="O55" s="10" t="str">
        <f>+VLOOKUP(Z55,listas!$B:$C,2,0)</f>
        <v>B2C</v>
      </c>
      <c r="P55" s="11">
        <f t="shared" si="0"/>
        <v>10000</v>
      </c>
      <c r="Q55" s="11">
        <f t="shared" si="13"/>
        <v>5042</v>
      </c>
      <c r="R55" s="59">
        <f t="shared" si="14"/>
        <v>7</v>
      </c>
      <c r="S55" s="59">
        <f t="shared" si="15"/>
        <v>6</v>
      </c>
      <c r="T55" s="11">
        <f t="shared" si="16"/>
        <v>1</v>
      </c>
      <c r="U55" s="135" t="s">
        <v>80</v>
      </c>
      <c r="V55" s="135" t="s">
        <v>652</v>
      </c>
      <c r="W55" s="135" t="s">
        <v>653</v>
      </c>
      <c r="X55" s="135" t="s">
        <v>653</v>
      </c>
      <c r="Y55" s="135" t="s">
        <v>539</v>
      </c>
      <c r="Z55" s="135" t="s">
        <v>98</v>
      </c>
      <c r="AA55" s="135" t="s">
        <v>99</v>
      </c>
      <c r="AB55" s="135" t="s">
        <v>4</v>
      </c>
      <c r="AC55" s="135" t="s">
        <v>93</v>
      </c>
      <c r="AD55" s="135" t="s">
        <v>83</v>
      </c>
      <c r="AE55" s="135" t="s">
        <v>94</v>
      </c>
      <c r="AF55" s="135" t="s">
        <v>95</v>
      </c>
      <c r="AG55" s="136">
        <v>10000</v>
      </c>
      <c r="AH55" s="136">
        <v>10000</v>
      </c>
      <c r="AI55" s="136">
        <v>0</v>
      </c>
      <c r="AJ55" s="136">
        <v>0</v>
      </c>
      <c r="AK55" s="136">
        <v>6000</v>
      </c>
      <c r="AL55" s="135" t="s">
        <v>86</v>
      </c>
      <c r="AM55" s="135" t="s">
        <v>86</v>
      </c>
      <c r="AN55" s="135" t="s">
        <v>86</v>
      </c>
      <c r="AO55" s="135" t="s">
        <v>86</v>
      </c>
      <c r="AP55" s="135" t="s">
        <v>86</v>
      </c>
      <c r="AQ55" s="135" t="s">
        <v>654</v>
      </c>
      <c r="AR55" s="135" t="s">
        <v>655</v>
      </c>
      <c r="AS55" s="135" t="s">
        <v>171</v>
      </c>
      <c r="AT55" s="135" t="s">
        <v>171</v>
      </c>
      <c r="AU55" s="135" t="s">
        <v>285</v>
      </c>
      <c r="AV55" s="135" t="s">
        <v>43</v>
      </c>
      <c r="AW55" s="135" t="s">
        <v>92</v>
      </c>
      <c r="AX55" s="135" t="s">
        <v>103</v>
      </c>
      <c r="AY55" s="135">
        <v>0</v>
      </c>
      <c r="AZ55" s="135">
        <v>0</v>
      </c>
      <c r="BA55" s="135" t="s">
        <v>86</v>
      </c>
      <c r="BB55" s="137" t="s">
        <v>656</v>
      </c>
      <c r="BC55" s="135" t="s">
        <v>86</v>
      </c>
    </row>
    <row r="56" spans="1:55" ht="14.25" customHeight="1">
      <c r="A56" t="str">
        <f>IFERROR(VLOOKUP(AV56,Nómina!B:E,4,0),"")</f>
        <v>EUGENIA ISABEL MONTOYA VIELMA</v>
      </c>
      <c r="B56" t="str">
        <f>IFERROR(VLOOKUP(A56,Nómina!E:F,2,0),"")</f>
        <v>12897620-5</v>
      </c>
      <c r="C56" s="30">
        <f t="shared" si="1"/>
        <v>22689</v>
      </c>
      <c r="D56" t="str">
        <f t="shared" si="2"/>
        <v>2026-07-06</v>
      </c>
      <c r="E56" t="str">
        <f t="shared" si="3"/>
        <v>B2C</v>
      </c>
      <c r="F56" t="str">
        <f t="shared" si="4"/>
        <v>Masaje</v>
      </c>
      <c r="G56" t="str">
        <f t="shared" si="5"/>
        <v>Individual</v>
      </c>
      <c r="H56" t="str">
        <f t="shared" si="6"/>
        <v>60min</v>
      </c>
      <c r="I56" t="str">
        <f t="shared" si="7"/>
        <v>Relajante</v>
      </c>
      <c r="J56" t="str">
        <f t="shared" si="8"/>
        <v>ÑUÑOA</v>
      </c>
      <c r="K56" t="str">
        <f t="shared" si="9"/>
        <v>Ninguno</v>
      </c>
      <c r="L56">
        <f t="shared" si="10"/>
        <v>0</v>
      </c>
      <c r="M56">
        <f t="shared" si="11"/>
        <v>0</v>
      </c>
      <c r="N56" t="str">
        <f t="shared" si="12"/>
        <v/>
      </c>
      <c r="O56" s="10" t="str">
        <f>+VLOOKUP(Z56,listas!$B:$C,2,0)</f>
        <v>B2C</v>
      </c>
      <c r="P56" s="11">
        <f t="shared" si="0"/>
        <v>45000</v>
      </c>
      <c r="Q56" s="11">
        <f t="shared" si="13"/>
        <v>22689</v>
      </c>
      <c r="R56" s="59">
        <f t="shared" si="14"/>
        <v>7</v>
      </c>
      <c r="S56" s="59">
        <f t="shared" si="15"/>
        <v>6</v>
      </c>
      <c r="T56" s="11">
        <f t="shared" si="16"/>
        <v>1</v>
      </c>
      <c r="U56" s="120" t="s">
        <v>80</v>
      </c>
      <c r="V56" s="120" t="s">
        <v>657</v>
      </c>
      <c r="W56" s="120" t="s">
        <v>560</v>
      </c>
      <c r="X56" s="120" t="s">
        <v>653</v>
      </c>
      <c r="Y56" s="120" t="s">
        <v>97</v>
      </c>
      <c r="Z56" s="120" t="s">
        <v>98</v>
      </c>
      <c r="AA56" s="120" t="s">
        <v>99</v>
      </c>
      <c r="AB56" s="120" t="s">
        <v>4</v>
      </c>
      <c r="AC56" s="120" t="s">
        <v>82</v>
      </c>
      <c r="AD56" s="120" t="s">
        <v>83</v>
      </c>
      <c r="AE56" s="120" t="s">
        <v>84</v>
      </c>
      <c r="AF56" s="120" t="s">
        <v>85</v>
      </c>
      <c r="AG56" s="133">
        <v>45000</v>
      </c>
      <c r="AH56" s="133">
        <v>45000</v>
      </c>
      <c r="AI56" s="133">
        <v>0</v>
      </c>
      <c r="AJ56" s="133">
        <v>0</v>
      </c>
      <c r="AK56" s="133">
        <v>27000</v>
      </c>
      <c r="AL56" s="120" t="s">
        <v>86</v>
      </c>
      <c r="AM56" s="120" t="s">
        <v>86</v>
      </c>
      <c r="AN56" s="120" t="s">
        <v>86</v>
      </c>
      <c r="AO56" s="120" t="s">
        <v>86</v>
      </c>
      <c r="AP56" s="120" t="s">
        <v>86</v>
      </c>
      <c r="AQ56" s="120" t="s">
        <v>658</v>
      </c>
      <c r="AR56" s="120" t="s">
        <v>659</v>
      </c>
      <c r="AS56" s="120" t="s">
        <v>153</v>
      </c>
      <c r="AT56" s="120" t="s">
        <v>153</v>
      </c>
      <c r="AU56" s="120" t="s">
        <v>152</v>
      </c>
      <c r="AV56" s="120" t="s">
        <v>14</v>
      </c>
      <c r="AW56" s="120" t="s">
        <v>92</v>
      </c>
      <c r="AX56" s="120" t="s">
        <v>103</v>
      </c>
      <c r="AY56" s="120">
        <v>0</v>
      </c>
      <c r="AZ56" s="120">
        <v>0</v>
      </c>
      <c r="BA56" s="120" t="s">
        <v>86</v>
      </c>
      <c r="BB56" s="134" t="s">
        <v>660</v>
      </c>
      <c r="BC56" s="120" t="s">
        <v>86</v>
      </c>
    </row>
    <row r="57" spans="1:55" ht="14.25" customHeight="1">
      <c r="A57" t="str">
        <f>IFERROR(VLOOKUP(AV57,Nómina!B:E,4,0),"")</f>
        <v>GENESIS VALENTINA SALAZAR GUEVARA</v>
      </c>
      <c r="B57" t="str">
        <f>IFERROR(VLOOKUP(A57,Nómina!E:F,2,0),"")</f>
        <v>27828546-4</v>
      </c>
      <c r="C57" s="30">
        <f t="shared" si="1"/>
        <v>22689</v>
      </c>
      <c r="D57" t="str">
        <f t="shared" si="2"/>
        <v>2026-07-06</v>
      </c>
      <c r="E57" t="str">
        <f t="shared" si="3"/>
        <v>HOTEL</v>
      </c>
      <c r="F57" t="str">
        <f t="shared" si="4"/>
        <v>Masaje</v>
      </c>
      <c r="G57" t="str">
        <f t="shared" si="5"/>
        <v>Individual</v>
      </c>
      <c r="H57" t="str">
        <f t="shared" si="6"/>
        <v>60min</v>
      </c>
      <c r="I57" t="str">
        <f t="shared" si="7"/>
        <v>Tejido profundo</v>
      </c>
      <c r="J57" t="str">
        <f t="shared" si="8"/>
        <v>VITACURA</v>
      </c>
      <c r="K57" t="str">
        <f t="shared" si="9"/>
        <v>Habitación 406</v>
      </c>
      <c r="L57">
        <f t="shared" si="10"/>
        <v>0</v>
      </c>
      <c r="M57">
        <f t="shared" si="11"/>
        <v>0</v>
      </c>
      <c r="N57" t="str">
        <f t="shared" si="12"/>
        <v/>
      </c>
      <c r="O57" s="10" t="str">
        <f>+VLOOKUP(Z57,listas!$B:$C,2,0)</f>
        <v>HOTEL</v>
      </c>
      <c r="P57" s="11">
        <f t="shared" si="0"/>
        <v>45000</v>
      </c>
      <c r="Q57" s="11">
        <f t="shared" si="13"/>
        <v>22689</v>
      </c>
      <c r="R57" s="59">
        <f t="shared" si="14"/>
        <v>7</v>
      </c>
      <c r="S57" s="59">
        <f t="shared" si="15"/>
        <v>6</v>
      </c>
      <c r="T57" s="11">
        <f t="shared" si="16"/>
        <v>1</v>
      </c>
      <c r="U57" s="120" t="s">
        <v>80</v>
      </c>
      <c r="V57" s="120" t="s">
        <v>661</v>
      </c>
      <c r="W57" s="120" t="s">
        <v>653</v>
      </c>
      <c r="X57" s="120" t="s">
        <v>653</v>
      </c>
      <c r="Y57" s="120" t="s">
        <v>122</v>
      </c>
      <c r="Z57" s="120" t="s">
        <v>5</v>
      </c>
      <c r="AA57" s="120" t="s">
        <v>81</v>
      </c>
      <c r="AB57" s="120" t="s">
        <v>5</v>
      </c>
      <c r="AC57" s="120" t="s">
        <v>82</v>
      </c>
      <c r="AD57" s="120" t="s">
        <v>83</v>
      </c>
      <c r="AE57" s="120" t="s">
        <v>84</v>
      </c>
      <c r="AF57" s="120" t="s">
        <v>123</v>
      </c>
      <c r="AG57" s="133">
        <v>45000</v>
      </c>
      <c r="AH57" s="133">
        <v>45000</v>
      </c>
      <c r="AI57" s="133">
        <v>0</v>
      </c>
      <c r="AJ57" s="133">
        <v>0</v>
      </c>
      <c r="AK57" s="133">
        <v>27000</v>
      </c>
      <c r="AL57" s="120" t="s">
        <v>86</v>
      </c>
      <c r="AM57" s="120" t="s">
        <v>86</v>
      </c>
      <c r="AN57" s="120" t="s">
        <v>86</v>
      </c>
      <c r="AO57" s="120" t="s">
        <v>86</v>
      </c>
      <c r="AP57" s="120" t="s">
        <v>86</v>
      </c>
      <c r="AQ57" s="120" t="s">
        <v>124</v>
      </c>
      <c r="AR57" s="120" t="s">
        <v>125</v>
      </c>
      <c r="AS57" s="120" t="s">
        <v>115</v>
      </c>
      <c r="AT57" s="120" t="s">
        <v>115</v>
      </c>
      <c r="AU57" s="120" t="s">
        <v>109</v>
      </c>
      <c r="AV57" s="120" t="s">
        <v>549</v>
      </c>
      <c r="AW57" s="120" t="s">
        <v>92</v>
      </c>
      <c r="AX57" s="120" t="s">
        <v>662</v>
      </c>
      <c r="AY57" s="120">
        <v>0</v>
      </c>
      <c r="AZ57" s="120">
        <v>0</v>
      </c>
      <c r="BA57" s="120" t="s">
        <v>86</v>
      </c>
      <c r="BB57" s="134" t="s">
        <v>663</v>
      </c>
      <c r="BC57" s="120" t="s">
        <v>86</v>
      </c>
    </row>
    <row r="58" spans="1:55" ht="14.25" customHeight="1">
      <c r="A58" t="str">
        <f>IFERROR(VLOOKUP(AV58,Nómina!B:E,4,0),"")</f>
        <v>GENESIS DANIELA PIMENTEL HERRERA</v>
      </c>
      <c r="B58" t="str">
        <f>IFERROR(VLOOKUP(A58,Nómina!E:F,2,0),"")</f>
        <v>26598096-1</v>
      </c>
      <c r="C58" s="30">
        <f t="shared" si="1"/>
        <v>22689</v>
      </c>
      <c r="D58" t="str">
        <f t="shared" si="2"/>
        <v>2026-07-06</v>
      </c>
      <c r="E58" t="str">
        <f t="shared" si="3"/>
        <v>B2C</v>
      </c>
      <c r="F58" t="str">
        <f t="shared" si="4"/>
        <v>Masaje</v>
      </c>
      <c r="G58" t="str">
        <f t="shared" si="5"/>
        <v>Individual</v>
      </c>
      <c r="H58" t="str">
        <f t="shared" si="6"/>
        <v>60min</v>
      </c>
      <c r="I58" t="str">
        <f t="shared" si="7"/>
        <v>Deportivo</v>
      </c>
      <c r="J58" t="str">
        <f t="shared" si="8"/>
        <v>VITACURA</v>
      </c>
      <c r="K58" t="str">
        <f t="shared" si="9"/>
        <v>Ninguno</v>
      </c>
      <c r="L58">
        <f t="shared" si="10"/>
        <v>5</v>
      </c>
      <c r="M58">
        <f t="shared" si="11"/>
        <v>5</v>
      </c>
      <c r="N58" t="str">
        <f t="shared" si="12"/>
        <v>Me encantó mi terapeuta Génesis. Espectacular el masaje y le dio énfasis a lo que yo necesitaba.</v>
      </c>
      <c r="O58" s="10" t="str">
        <f>+VLOOKUP(Z58,listas!$B:$C,2,0)</f>
        <v>B2C</v>
      </c>
      <c r="P58" s="11">
        <f t="shared" si="0"/>
        <v>45000</v>
      </c>
      <c r="Q58" s="11">
        <f t="shared" si="13"/>
        <v>22689</v>
      </c>
      <c r="R58" s="59">
        <f t="shared" si="14"/>
        <v>7</v>
      </c>
      <c r="S58" s="59">
        <f t="shared" si="15"/>
        <v>6</v>
      </c>
      <c r="T58" s="11">
        <f t="shared" si="16"/>
        <v>1</v>
      </c>
      <c r="U58" s="120" t="s">
        <v>80</v>
      </c>
      <c r="V58" s="120" t="s">
        <v>664</v>
      </c>
      <c r="W58" s="120" t="s">
        <v>653</v>
      </c>
      <c r="X58" s="120" t="s">
        <v>653</v>
      </c>
      <c r="Y58" s="120" t="s">
        <v>114</v>
      </c>
      <c r="Z58" s="120" t="s">
        <v>98</v>
      </c>
      <c r="AA58" s="120" t="s">
        <v>99</v>
      </c>
      <c r="AB58" s="120" t="s">
        <v>4</v>
      </c>
      <c r="AC58" s="120" t="s">
        <v>82</v>
      </c>
      <c r="AD58" s="120" t="s">
        <v>83</v>
      </c>
      <c r="AE58" s="120" t="s">
        <v>84</v>
      </c>
      <c r="AF58" s="120" t="s">
        <v>150</v>
      </c>
      <c r="AG58" s="133">
        <v>45000</v>
      </c>
      <c r="AH58" s="133">
        <v>45000</v>
      </c>
      <c r="AI58" s="133">
        <v>0</v>
      </c>
      <c r="AJ58" s="133">
        <v>0</v>
      </c>
      <c r="AK58" s="133">
        <v>27000</v>
      </c>
      <c r="AL58" s="120" t="s">
        <v>86</v>
      </c>
      <c r="AM58" s="120" t="s">
        <v>86</v>
      </c>
      <c r="AN58" s="120" t="s">
        <v>86</v>
      </c>
      <c r="AO58" s="120" t="s">
        <v>86</v>
      </c>
      <c r="AP58" s="120" t="s">
        <v>86</v>
      </c>
      <c r="AQ58" s="120" t="s">
        <v>665</v>
      </c>
      <c r="AR58" s="120" t="s">
        <v>666</v>
      </c>
      <c r="AS58" s="120" t="s">
        <v>115</v>
      </c>
      <c r="AT58" s="120" t="s">
        <v>115</v>
      </c>
      <c r="AU58" s="120" t="s">
        <v>141</v>
      </c>
      <c r="AV58" s="120" t="s">
        <v>552</v>
      </c>
      <c r="AW58" s="120" t="s">
        <v>92</v>
      </c>
      <c r="AX58" s="120" t="s">
        <v>103</v>
      </c>
      <c r="AY58" s="120">
        <v>5</v>
      </c>
      <c r="AZ58" s="120">
        <v>5</v>
      </c>
      <c r="BA58" s="120" t="s">
        <v>667</v>
      </c>
      <c r="BB58" s="134" t="s">
        <v>668</v>
      </c>
      <c r="BC58" s="120" t="s">
        <v>86</v>
      </c>
    </row>
    <row r="59" spans="1:55" ht="14.25" customHeight="1">
      <c r="A59" t="str">
        <f>IFERROR(VLOOKUP(AV59,Nómina!B:E,4,0),"")</f>
        <v>GENESIS DANIELA PIMENTEL HERRERA</v>
      </c>
      <c r="B59" t="str">
        <f>IFERROR(VLOOKUP(A59,Nómina!E:F,2,0),"")</f>
        <v>26598096-1</v>
      </c>
      <c r="C59" s="30">
        <f t="shared" si="1"/>
        <v>31765</v>
      </c>
      <c r="D59" t="str">
        <f t="shared" si="2"/>
        <v>2026-07-07</v>
      </c>
      <c r="E59" t="str">
        <f t="shared" si="3"/>
        <v>B2C</v>
      </c>
      <c r="F59" t="str">
        <f t="shared" si="4"/>
        <v>Masaje</v>
      </c>
      <c r="G59" t="str">
        <f t="shared" si="5"/>
        <v>Individual</v>
      </c>
      <c r="H59" t="str">
        <f t="shared" si="6"/>
        <v>90min</v>
      </c>
      <c r="I59" t="str">
        <f t="shared" si="7"/>
        <v>Tejido profundo</v>
      </c>
      <c r="J59" t="str">
        <f t="shared" si="8"/>
        <v>PROVIDENCIA</v>
      </c>
      <c r="K59" t="str">
        <f t="shared" si="9"/>
        <v>Ninguno</v>
      </c>
      <c r="L59">
        <f t="shared" si="10"/>
        <v>0</v>
      </c>
      <c r="M59">
        <f t="shared" si="11"/>
        <v>0</v>
      </c>
      <c r="N59" t="str">
        <f t="shared" si="12"/>
        <v/>
      </c>
      <c r="O59" s="10" t="str">
        <f>+VLOOKUP(Z59,listas!$B:$C,2,0)</f>
        <v>B2C</v>
      </c>
      <c r="P59" s="11">
        <f t="shared" si="0"/>
        <v>63000</v>
      </c>
      <c r="Q59" s="11">
        <f t="shared" si="13"/>
        <v>31765</v>
      </c>
      <c r="R59" s="59">
        <f t="shared" si="14"/>
        <v>7</v>
      </c>
      <c r="S59" s="59">
        <f t="shared" si="15"/>
        <v>7</v>
      </c>
      <c r="T59" s="11">
        <f t="shared" si="16"/>
        <v>1</v>
      </c>
      <c r="U59" s="120" t="s">
        <v>80</v>
      </c>
      <c r="V59" s="120" t="s">
        <v>669</v>
      </c>
      <c r="W59" s="120" t="s">
        <v>670</v>
      </c>
      <c r="X59" s="120" t="s">
        <v>670</v>
      </c>
      <c r="Y59" s="120" t="s">
        <v>130</v>
      </c>
      <c r="Z59" s="120" t="s">
        <v>98</v>
      </c>
      <c r="AA59" s="120" t="s">
        <v>99</v>
      </c>
      <c r="AB59" s="120" t="s">
        <v>4</v>
      </c>
      <c r="AC59" s="120" t="s">
        <v>82</v>
      </c>
      <c r="AD59" s="120" t="s">
        <v>83</v>
      </c>
      <c r="AE59" s="120" t="s">
        <v>146</v>
      </c>
      <c r="AF59" s="120" t="s">
        <v>123</v>
      </c>
      <c r="AG59" s="133">
        <v>63000</v>
      </c>
      <c r="AH59" s="133">
        <v>63000</v>
      </c>
      <c r="AI59" s="133">
        <v>0</v>
      </c>
      <c r="AJ59" s="133">
        <v>0</v>
      </c>
      <c r="AK59" s="133">
        <v>37800</v>
      </c>
      <c r="AL59" s="120" t="s">
        <v>86</v>
      </c>
      <c r="AM59" s="120" t="s">
        <v>86</v>
      </c>
      <c r="AN59" s="120" t="s">
        <v>86</v>
      </c>
      <c r="AO59" s="120" t="s">
        <v>86</v>
      </c>
      <c r="AP59" s="120" t="s">
        <v>86</v>
      </c>
      <c r="AQ59" s="120" t="s">
        <v>671</v>
      </c>
      <c r="AR59" s="120" t="s">
        <v>672</v>
      </c>
      <c r="AS59" s="120" t="s">
        <v>143</v>
      </c>
      <c r="AT59" s="120" t="s">
        <v>143</v>
      </c>
      <c r="AU59" s="120" t="s">
        <v>141</v>
      </c>
      <c r="AV59" s="120" t="s">
        <v>552</v>
      </c>
      <c r="AW59" s="120" t="s">
        <v>92</v>
      </c>
      <c r="AX59" s="120" t="s">
        <v>103</v>
      </c>
      <c r="AY59" s="120">
        <v>0</v>
      </c>
      <c r="AZ59" s="120">
        <v>0</v>
      </c>
      <c r="BA59" s="120" t="s">
        <v>86</v>
      </c>
      <c r="BB59" s="134" t="s">
        <v>673</v>
      </c>
      <c r="BC59" s="120" t="s">
        <v>86</v>
      </c>
    </row>
    <row r="60" spans="1:55" ht="14.25" customHeight="1">
      <c r="A60" t="str">
        <f>IFERROR(VLOOKUP(AV60,Nómina!B:E,4,0),"")</f>
        <v>DANIELA ANTONIA ALARCON ELIZALDE</v>
      </c>
      <c r="B60" t="str">
        <f>IFERROR(VLOOKUP(A60,Nómina!E:F,2,0),"")</f>
        <v>15893769-7</v>
      </c>
      <c r="C60" s="30">
        <f t="shared" si="1"/>
        <v>22689</v>
      </c>
      <c r="D60" t="str">
        <f t="shared" si="2"/>
        <v>2026-07-07</v>
      </c>
      <c r="E60" t="str">
        <f t="shared" si="3"/>
        <v>B2C</v>
      </c>
      <c r="F60" t="str">
        <f t="shared" si="4"/>
        <v>Masaje</v>
      </c>
      <c r="G60" t="str">
        <f t="shared" si="5"/>
        <v>Individual</v>
      </c>
      <c r="H60" t="str">
        <f t="shared" si="6"/>
        <v>60min</v>
      </c>
      <c r="I60" t="str">
        <f t="shared" si="7"/>
        <v>Relajante</v>
      </c>
      <c r="J60" t="str">
        <f t="shared" si="8"/>
        <v>LAS CONDES</v>
      </c>
      <c r="K60" t="str">
        <f t="shared" si="9"/>
        <v>Ninguno</v>
      </c>
      <c r="L60">
        <f t="shared" si="10"/>
        <v>0</v>
      </c>
      <c r="M60">
        <f t="shared" si="11"/>
        <v>0</v>
      </c>
      <c r="N60" t="str">
        <f t="shared" si="12"/>
        <v/>
      </c>
      <c r="O60" s="10" t="str">
        <f>+VLOOKUP(Z60,listas!$B:$C,2,0)</f>
        <v>B2C</v>
      </c>
      <c r="P60" s="11">
        <f t="shared" si="0"/>
        <v>45000</v>
      </c>
      <c r="Q60" s="11">
        <f t="shared" si="13"/>
        <v>22689</v>
      </c>
      <c r="R60" s="59">
        <f t="shared" si="14"/>
        <v>7</v>
      </c>
      <c r="S60" s="59">
        <f t="shared" si="15"/>
        <v>7</v>
      </c>
      <c r="T60" s="11">
        <f t="shared" si="16"/>
        <v>1</v>
      </c>
      <c r="U60" s="120" t="s">
        <v>80</v>
      </c>
      <c r="V60" s="120" t="s">
        <v>674</v>
      </c>
      <c r="W60" s="120" t="s">
        <v>670</v>
      </c>
      <c r="X60" s="120" t="s">
        <v>670</v>
      </c>
      <c r="Y60" s="120" t="s">
        <v>111</v>
      </c>
      <c r="Z60" s="120" t="s">
        <v>98</v>
      </c>
      <c r="AA60" s="120" t="s">
        <v>99</v>
      </c>
      <c r="AB60" s="120" t="s">
        <v>4</v>
      </c>
      <c r="AC60" s="120" t="s">
        <v>82</v>
      </c>
      <c r="AD60" s="120" t="s">
        <v>83</v>
      </c>
      <c r="AE60" s="120" t="s">
        <v>84</v>
      </c>
      <c r="AF60" s="120" t="s">
        <v>85</v>
      </c>
      <c r="AG60" s="133">
        <v>45000</v>
      </c>
      <c r="AH60" s="133">
        <v>40500</v>
      </c>
      <c r="AI60" s="133">
        <v>0</v>
      </c>
      <c r="AJ60" s="133">
        <v>4500</v>
      </c>
      <c r="AK60" s="133">
        <v>27000</v>
      </c>
      <c r="AL60" s="120" t="s">
        <v>535</v>
      </c>
      <c r="AM60" s="120" t="s">
        <v>86</v>
      </c>
      <c r="AN60" s="120" t="s">
        <v>86</v>
      </c>
      <c r="AO60" s="120" t="s">
        <v>86</v>
      </c>
      <c r="AP60" s="120" t="s">
        <v>86</v>
      </c>
      <c r="AQ60" s="120" t="s">
        <v>675</v>
      </c>
      <c r="AR60" s="120" t="s">
        <v>676</v>
      </c>
      <c r="AS60" s="120" t="s">
        <v>89</v>
      </c>
      <c r="AT60" s="120" t="s">
        <v>89</v>
      </c>
      <c r="AU60" s="120" t="s">
        <v>168</v>
      </c>
      <c r="AV60" s="120" t="s">
        <v>510</v>
      </c>
      <c r="AW60" s="120" t="s">
        <v>92</v>
      </c>
      <c r="AX60" s="120" t="s">
        <v>103</v>
      </c>
      <c r="AY60" s="120">
        <v>0</v>
      </c>
      <c r="AZ60" s="120">
        <v>0</v>
      </c>
      <c r="BA60" s="120" t="s">
        <v>86</v>
      </c>
      <c r="BB60" s="134" t="s">
        <v>677</v>
      </c>
      <c r="BC60" s="120" t="s">
        <v>86</v>
      </c>
    </row>
    <row r="61" spans="1:55" ht="14.25" customHeight="1">
      <c r="A61" t="str">
        <f>IFERROR(VLOOKUP(AV61,Nómina!B:E,4,0),"")</f>
        <v>DANIELA ANTONIA ALARCON ELIZALDE</v>
      </c>
      <c r="B61" t="str">
        <f>IFERROR(VLOOKUP(A61,Nómina!E:F,2,0),"")</f>
        <v>15893769-7</v>
      </c>
      <c r="C61" s="30">
        <f t="shared" si="1"/>
        <v>10084</v>
      </c>
      <c r="D61" t="str">
        <f t="shared" si="2"/>
        <v>2026-07-07</v>
      </c>
      <c r="E61" t="str">
        <f t="shared" si="3"/>
        <v>B2C</v>
      </c>
      <c r="F61" t="str">
        <f t="shared" si="4"/>
        <v>Addon</v>
      </c>
      <c r="G61" t="str">
        <f t="shared" si="5"/>
        <v>Individual</v>
      </c>
      <c r="H61" t="str">
        <f t="shared" si="6"/>
        <v>30min</v>
      </c>
      <c r="I61" t="str">
        <f t="shared" si="7"/>
        <v>Drenaje Linfático</v>
      </c>
      <c r="J61" t="str">
        <f t="shared" si="8"/>
        <v>LAS CONDES</v>
      </c>
      <c r="K61" t="str">
        <f t="shared" si="9"/>
        <v>Ninguno</v>
      </c>
      <c r="L61">
        <f t="shared" si="10"/>
        <v>0</v>
      </c>
      <c r="M61">
        <f t="shared" si="11"/>
        <v>0</v>
      </c>
      <c r="N61" t="str">
        <f t="shared" si="12"/>
        <v/>
      </c>
      <c r="O61" s="10" t="str">
        <f>+VLOOKUP(Z61,listas!$B:$C,2,0)</f>
        <v>B2C</v>
      </c>
      <c r="P61" s="11">
        <f t="shared" si="0"/>
        <v>20000</v>
      </c>
      <c r="Q61" s="11">
        <f t="shared" si="13"/>
        <v>10084</v>
      </c>
      <c r="R61" s="59">
        <f t="shared" si="14"/>
        <v>7</v>
      </c>
      <c r="S61" s="59">
        <f t="shared" si="15"/>
        <v>7</v>
      </c>
      <c r="T61" s="11">
        <f t="shared" si="16"/>
        <v>1</v>
      </c>
      <c r="U61" s="135" t="s">
        <v>80</v>
      </c>
      <c r="V61" s="135" t="s">
        <v>674</v>
      </c>
      <c r="W61" s="135" t="s">
        <v>670</v>
      </c>
      <c r="X61" s="135" t="s">
        <v>670</v>
      </c>
      <c r="Y61" s="135" t="s">
        <v>111</v>
      </c>
      <c r="Z61" s="135" t="s">
        <v>98</v>
      </c>
      <c r="AA61" s="135" t="s">
        <v>99</v>
      </c>
      <c r="AB61" s="135" t="s">
        <v>4</v>
      </c>
      <c r="AC61" s="135" t="s">
        <v>93</v>
      </c>
      <c r="AD61" s="135" t="s">
        <v>83</v>
      </c>
      <c r="AE61" s="135" t="s">
        <v>126</v>
      </c>
      <c r="AF61" s="135" t="s">
        <v>129</v>
      </c>
      <c r="AG61" s="136">
        <v>20000</v>
      </c>
      <c r="AH61" s="136">
        <v>18000</v>
      </c>
      <c r="AI61" s="136">
        <v>0</v>
      </c>
      <c r="AJ61" s="136">
        <v>2000</v>
      </c>
      <c r="AK61" s="136">
        <v>9720</v>
      </c>
      <c r="AL61" s="135" t="s">
        <v>535</v>
      </c>
      <c r="AM61" s="135" t="s">
        <v>86</v>
      </c>
      <c r="AN61" s="135" t="s">
        <v>86</v>
      </c>
      <c r="AO61" s="135" t="s">
        <v>86</v>
      </c>
      <c r="AP61" s="135" t="s">
        <v>86</v>
      </c>
      <c r="AQ61" s="135" t="s">
        <v>675</v>
      </c>
      <c r="AR61" s="135" t="s">
        <v>676</v>
      </c>
      <c r="AS61" s="135" t="s">
        <v>89</v>
      </c>
      <c r="AT61" s="135" t="s">
        <v>89</v>
      </c>
      <c r="AU61" s="135" t="s">
        <v>168</v>
      </c>
      <c r="AV61" s="135" t="s">
        <v>510</v>
      </c>
      <c r="AW61" s="135" t="s">
        <v>92</v>
      </c>
      <c r="AX61" s="135" t="s">
        <v>103</v>
      </c>
      <c r="AY61" s="135">
        <v>0</v>
      </c>
      <c r="AZ61" s="135">
        <v>0</v>
      </c>
      <c r="BA61" s="135" t="s">
        <v>86</v>
      </c>
      <c r="BB61" s="137" t="s">
        <v>677</v>
      </c>
      <c r="BC61" s="135" t="s">
        <v>86</v>
      </c>
    </row>
    <row r="62" spans="1:55" ht="14.25" customHeight="1">
      <c r="A62" t="str">
        <f>IFERROR(VLOOKUP(AV62,Nómina!B:E,4,0),"")</f>
        <v>GENESIS DANIELA PIMENTEL HERRERA</v>
      </c>
      <c r="B62" t="str">
        <f>IFERROR(VLOOKUP(A62,Nómina!E:F,2,0),"")</f>
        <v>26598096-1</v>
      </c>
      <c r="C62" s="30">
        <f t="shared" si="1"/>
        <v>31765</v>
      </c>
      <c r="D62" t="str">
        <f t="shared" si="2"/>
        <v>2026-07-08</v>
      </c>
      <c r="E62" t="str">
        <f t="shared" si="3"/>
        <v>HOTEL</v>
      </c>
      <c r="F62" t="str">
        <f t="shared" si="4"/>
        <v>Masaje</v>
      </c>
      <c r="G62" t="str">
        <f t="shared" si="5"/>
        <v>Individual</v>
      </c>
      <c r="H62" t="str">
        <f t="shared" si="6"/>
        <v>90min</v>
      </c>
      <c r="I62" t="str">
        <f t="shared" si="7"/>
        <v>Tejido profundo</v>
      </c>
      <c r="J62" t="str">
        <f t="shared" si="8"/>
        <v>SANTIAGO DE CHILE</v>
      </c>
      <c r="K62" t="str">
        <f t="shared" si="9"/>
        <v>Nombre huésped: Mordechai Walder
Número de habitación: 905</v>
      </c>
      <c r="L62">
        <f t="shared" si="10"/>
        <v>0</v>
      </c>
      <c r="M62">
        <f t="shared" si="11"/>
        <v>0</v>
      </c>
      <c r="N62" t="str">
        <f t="shared" si="12"/>
        <v/>
      </c>
      <c r="O62" s="10" t="str">
        <f>+VLOOKUP(Z62,listas!$B:$C,2,0)</f>
        <v>HOTEL</v>
      </c>
      <c r="P62" s="11">
        <f t="shared" si="0"/>
        <v>63000</v>
      </c>
      <c r="Q62" s="11">
        <f t="shared" si="13"/>
        <v>31765</v>
      </c>
      <c r="R62" s="59">
        <f t="shared" si="14"/>
        <v>7</v>
      </c>
      <c r="S62" s="59">
        <f t="shared" si="15"/>
        <v>8</v>
      </c>
      <c r="T62" s="11">
        <f t="shared" si="16"/>
        <v>1</v>
      </c>
      <c r="U62" s="120" t="s">
        <v>80</v>
      </c>
      <c r="V62" s="120" t="s">
        <v>678</v>
      </c>
      <c r="W62" s="120" t="s">
        <v>670</v>
      </c>
      <c r="X62" s="120" t="s">
        <v>679</v>
      </c>
      <c r="Y62" s="120" t="s">
        <v>155</v>
      </c>
      <c r="Z62" s="120" t="s">
        <v>5</v>
      </c>
      <c r="AA62" s="120" t="s">
        <v>81</v>
      </c>
      <c r="AB62" s="120" t="s">
        <v>5</v>
      </c>
      <c r="AC62" s="120" t="s">
        <v>82</v>
      </c>
      <c r="AD62" s="120" t="s">
        <v>83</v>
      </c>
      <c r="AE62" s="120" t="s">
        <v>146</v>
      </c>
      <c r="AF62" s="120" t="s">
        <v>123</v>
      </c>
      <c r="AG62" s="133">
        <v>63000</v>
      </c>
      <c r="AH62" s="133">
        <v>63000</v>
      </c>
      <c r="AI62" s="133">
        <v>0</v>
      </c>
      <c r="AJ62" s="133">
        <v>0</v>
      </c>
      <c r="AK62" s="133">
        <v>37800</v>
      </c>
      <c r="AL62" s="120" t="s">
        <v>86</v>
      </c>
      <c r="AM62" s="120" t="s">
        <v>86</v>
      </c>
      <c r="AN62" s="120" t="s">
        <v>86</v>
      </c>
      <c r="AO62" s="120" t="s">
        <v>86</v>
      </c>
      <c r="AP62" s="120" t="s">
        <v>86</v>
      </c>
      <c r="AQ62" s="120" t="s">
        <v>139</v>
      </c>
      <c r="AR62" s="120" t="s">
        <v>140</v>
      </c>
      <c r="AS62" s="120" t="s">
        <v>160</v>
      </c>
      <c r="AT62" s="120" t="s">
        <v>90</v>
      </c>
      <c r="AU62" s="120" t="s">
        <v>141</v>
      </c>
      <c r="AV62" s="120" t="s">
        <v>552</v>
      </c>
      <c r="AW62" s="120" t="s">
        <v>92</v>
      </c>
      <c r="AX62" s="120" t="s">
        <v>680</v>
      </c>
      <c r="AY62" s="120">
        <v>0</v>
      </c>
      <c r="AZ62" s="120">
        <v>0</v>
      </c>
      <c r="BA62" s="120" t="s">
        <v>86</v>
      </c>
      <c r="BB62" s="134" t="s">
        <v>681</v>
      </c>
      <c r="BC62" s="120" t="s">
        <v>86</v>
      </c>
    </row>
    <row r="63" spans="1:55" ht="14.25" customHeight="1">
      <c r="A63" t="str">
        <f>IFERROR(VLOOKUP(AV63,Nómina!B:E,4,0),"")</f>
        <v>GENESIS DANIELA PIMENTEL HERRERA</v>
      </c>
      <c r="B63" t="str">
        <f>IFERROR(VLOOKUP(A63,Nómina!E:F,2,0),"")</f>
        <v>26598096-1</v>
      </c>
      <c r="C63" s="30">
        <f t="shared" si="1"/>
        <v>5042</v>
      </c>
      <c r="D63" t="str">
        <f t="shared" si="2"/>
        <v>2026-07-08</v>
      </c>
      <c r="E63" t="str">
        <f t="shared" si="3"/>
        <v>HOTEL</v>
      </c>
      <c r="F63" t="str">
        <f t="shared" si="4"/>
        <v>Addon</v>
      </c>
      <c r="G63" t="str">
        <f t="shared" si="5"/>
        <v>Individual</v>
      </c>
      <c r="H63" t="str">
        <f t="shared" si="6"/>
        <v>15min</v>
      </c>
      <c r="I63" t="str">
        <f t="shared" si="7"/>
        <v>Craneofacial</v>
      </c>
      <c r="J63" t="str">
        <f t="shared" si="8"/>
        <v>SANTIAGO DE CHILE</v>
      </c>
      <c r="K63" t="str">
        <f t="shared" si="9"/>
        <v>Nombre huésped: Mordechai Walder
Número de habitación: 905</v>
      </c>
      <c r="L63">
        <f t="shared" si="10"/>
        <v>0</v>
      </c>
      <c r="M63">
        <f t="shared" si="11"/>
        <v>0</v>
      </c>
      <c r="N63" t="str">
        <f t="shared" si="12"/>
        <v/>
      </c>
      <c r="O63" s="10" t="str">
        <f>+VLOOKUP(Z63,listas!$B:$C,2,0)</f>
        <v>HOTEL</v>
      </c>
      <c r="P63" s="11">
        <f t="shared" si="0"/>
        <v>10000</v>
      </c>
      <c r="Q63" s="11">
        <f t="shared" si="13"/>
        <v>5042</v>
      </c>
      <c r="R63" s="59">
        <f t="shared" si="14"/>
        <v>7</v>
      </c>
      <c r="S63" s="59">
        <f t="shared" si="15"/>
        <v>8</v>
      </c>
      <c r="T63" s="11">
        <f t="shared" si="16"/>
        <v>1</v>
      </c>
      <c r="U63" s="135" t="s">
        <v>80</v>
      </c>
      <c r="V63" s="135" t="s">
        <v>678</v>
      </c>
      <c r="W63" s="135" t="s">
        <v>670</v>
      </c>
      <c r="X63" s="135" t="s">
        <v>679</v>
      </c>
      <c r="Y63" s="135" t="s">
        <v>155</v>
      </c>
      <c r="Z63" s="135" t="s">
        <v>5</v>
      </c>
      <c r="AA63" s="135" t="s">
        <v>81</v>
      </c>
      <c r="AB63" s="135" t="s">
        <v>5</v>
      </c>
      <c r="AC63" s="135" t="s">
        <v>93</v>
      </c>
      <c r="AD63" s="135" t="s">
        <v>83</v>
      </c>
      <c r="AE63" s="135" t="s">
        <v>94</v>
      </c>
      <c r="AF63" s="135" t="s">
        <v>96</v>
      </c>
      <c r="AG63" s="136">
        <v>10000</v>
      </c>
      <c r="AH63" s="136">
        <v>10000</v>
      </c>
      <c r="AI63" s="136">
        <v>0</v>
      </c>
      <c r="AJ63" s="136">
        <v>0</v>
      </c>
      <c r="AK63" s="136">
        <v>6000</v>
      </c>
      <c r="AL63" s="135" t="s">
        <v>86</v>
      </c>
      <c r="AM63" s="135" t="s">
        <v>86</v>
      </c>
      <c r="AN63" s="135" t="s">
        <v>86</v>
      </c>
      <c r="AO63" s="135" t="s">
        <v>86</v>
      </c>
      <c r="AP63" s="135" t="s">
        <v>86</v>
      </c>
      <c r="AQ63" s="135" t="s">
        <v>139</v>
      </c>
      <c r="AR63" s="135" t="s">
        <v>140</v>
      </c>
      <c r="AS63" s="135" t="s">
        <v>160</v>
      </c>
      <c r="AT63" s="135" t="s">
        <v>90</v>
      </c>
      <c r="AU63" s="135" t="s">
        <v>141</v>
      </c>
      <c r="AV63" s="135" t="s">
        <v>552</v>
      </c>
      <c r="AW63" s="135" t="s">
        <v>92</v>
      </c>
      <c r="AX63" s="135" t="s">
        <v>680</v>
      </c>
      <c r="AY63" s="135">
        <v>0</v>
      </c>
      <c r="AZ63" s="135">
        <v>0</v>
      </c>
      <c r="BA63" s="135" t="s">
        <v>86</v>
      </c>
      <c r="BB63" s="137" t="s">
        <v>681</v>
      </c>
      <c r="BC63" s="135" t="s">
        <v>86</v>
      </c>
    </row>
    <row r="64" spans="1:55" ht="14.25" customHeight="1">
      <c r="A64" t="str">
        <f>IFERROR(VLOOKUP(AV64,Nómina!B:E,4,0),"")</f>
        <v>GENESIS DANIELA PIMENTEL HERRERA</v>
      </c>
      <c r="B64" t="str">
        <f>IFERROR(VLOOKUP(A64,Nómina!E:F,2,0),"")</f>
        <v>26598096-1</v>
      </c>
      <c r="C64" s="30">
        <f t="shared" si="1"/>
        <v>6050</v>
      </c>
      <c r="D64" t="str">
        <f t="shared" si="2"/>
        <v>2026-07-08</v>
      </c>
      <c r="E64" t="str">
        <f t="shared" si="3"/>
        <v>HOTEL</v>
      </c>
      <c r="F64" t="str">
        <f t="shared" si="4"/>
        <v>Addon</v>
      </c>
      <c r="G64" t="str">
        <f t="shared" si="5"/>
        <v>Individual</v>
      </c>
      <c r="H64" t="str">
        <f t="shared" si="6"/>
        <v>15min</v>
      </c>
      <c r="I64" t="str">
        <f t="shared" si="7"/>
        <v>Yoga Facial</v>
      </c>
      <c r="J64" t="str">
        <f t="shared" si="8"/>
        <v>SANTIAGO DE CHILE</v>
      </c>
      <c r="K64" t="str">
        <f t="shared" si="9"/>
        <v>Nombre huésped: Mordechai Walder
Número de habitación: 905</v>
      </c>
      <c r="L64">
        <f t="shared" si="10"/>
        <v>0</v>
      </c>
      <c r="M64">
        <f t="shared" si="11"/>
        <v>0</v>
      </c>
      <c r="N64" t="str">
        <f t="shared" si="12"/>
        <v/>
      </c>
      <c r="O64" s="10" t="str">
        <f>+VLOOKUP(Z64,listas!$B:$C,2,0)</f>
        <v>HOTEL</v>
      </c>
      <c r="P64" s="11">
        <f t="shared" si="0"/>
        <v>12000</v>
      </c>
      <c r="Q64" s="11">
        <f t="shared" si="13"/>
        <v>6050</v>
      </c>
      <c r="R64" s="59">
        <f t="shared" si="14"/>
        <v>7</v>
      </c>
      <c r="S64" s="59">
        <f t="shared" si="15"/>
        <v>8</v>
      </c>
      <c r="T64" s="11">
        <f t="shared" si="16"/>
        <v>1</v>
      </c>
      <c r="U64" s="135" t="s">
        <v>80</v>
      </c>
      <c r="V64" s="135" t="s">
        <v>678</v>
      </c>
      <c r="W64" s="135" t="s">
        <v>670</v>
      </c>
      <c r="X64" s="135" t="s">
        <v>679</v>
      </c>
      <c r="Y64" s="135" t="s">
        <v>155</v>
      </c>
      <c r="Z64" s="135" t="s">
        <v>5</v>
      </c>
      <c r="AA64" s="135" t="s">
        <v>81</v>
      </c>
      <c r="AB64" s="135" t="s">
        <v>5</v>
      </c>
      <c r="AC64" s="135" t="s">
        <v>93</v>
      </c>
      <c r="AD64" s="135" t="s">
        <v>83</v>
      </c>
      <c r="AE64" s="135" t="s">
        <v>94</v>
      </c>
      <c r="AF64" s="135" t="s">
        <v>113</v>
      </c>
      <c r="AG64" s="136">
        <v>12000</v>
      </c>
      <c r="AH64" s="136">
        <v>12000</v>
      </c>
      <c r="AI64" s="136">
        <v>0</v>
      </c>
      <c r="AJ64" s="136">
        <v>0</v>
      </c>
      <c r="AK64" s="136">
        <v>7200</v>
      </c>
      <c r="AL64" s="135" t="s">
        <v>86</v>
      </c>
      <c r="AM64" s="135" t="s">
        <v>86</v>
      </c>
      <c r="AN64" s="135" t="s">
        <v>86</v>
      </c>
      <c r="AO64" s="135" t="s">
        <v>86</v>
      </c>
      <c r="AP64" s="135" t="s">
        <v>86</v>
      </c>
      <c r="AQ64" s="135" t="s">
        <v>139</v>
      </c>
      <c r="AR64" s="135" t="s">
        <v>140</v>
      </c>
      <c r="AS64" s="135" t="s">
        <v>160</v>
      </c>
      <c r="AT64" s="135" t="s">
        <v>90</v>
      </c>
      <c r="AU64" s="135" t="s">
        <v>141</v>
      </c>
      <c r="AV64" s="135" t="s">
        <v>552</v>
      </c>
      <c r="AW64" s="135" t="s">
        <v>92</v>
      </c>
      <c r="AX64" s="135" t="s">
        <v>680</v>
      </c>
      <c r="AY64" s="135">
        <v>0</v>
      </c>
      <c r="AZ64" s="135">
        <v>0</v>
      </c>
      <c r="BA64" s="135" t="s">
        <v>86</v>
      </c>
      <c r="BB64" s="137" t="s">
        <v>681</v>
      </c>
      <c r="BC64" s="135" t="s">
        <v>86</v>
      </c>
    </row>
    <row r="65" spans="1:55" ht="14.25" customHeight="1">
      <c r="A65" t="str">
        <f>IFERROR(VLOOKUP(AV65,Nómina!B:E,4,0),"")</f>
        <v>MARIA MAGDALENA CASTRO MORGADO</v>
      </c>
      <c r="B65" t="str">
        <f>IFERROR(VLOOKUP(A65,Nómina!E:F,2,0),"")</f>
        <v>13335240-6</v>
      </c>
      <c r="C65" s="30">
        <f t="shared" si="1"/>
        <v>22689</v>
      </c>
      <c r="D65" t="str">
        <f t="shared" si="2"/>
        <v>2026-07-08</v>
      </c>
      <c r="E65" t="str">
        <f t="shared" si="3"/>
        <v>B2C</v>
      </c>
      <c r="F65" t="str">
        <f t="shared" si="4"/>
        <v>Masaje</v>
      </c>
      <c r="G65" t="str">
        <f t="shared" si="5"/>
        <v>Individual</v>
      </c>
      <c r="H65" t="str">
        <f t="shared" si="6"/>
        <v>60min</v>
      </c>
      <c r="I65" t="str">
        <f t="shared" si="7"/>
        <v>Prenatal</v>
      </c>
      <c r="J65" t="str">
        <f t="shared" si="8"/>
        <v>CHICUREO</v>
      </c>
      <c r="K65" t="str">
        <f t="shared" si="9"/>
        <v>Ninguno</v>
      </c>
      <c r="L65">
        <f t="shared" si="10"/>
        <v>5</v>
      </c>
      <c r="M65">
        <f t="shared" si="11"/>
        <v>5</v>
      </c>
      <c r="N65" t="str">
        <f t="shared" si="12"/>
        <v>Excelente!! Me encantó, nada que decir de Magdalena. Gracias</v>
      </c>
      <c r="O65" s="10" t="str">
        <f>+VLOOKUP(Z65,listas!$B:$C,2,0)</f>
        <v>B2C</v>
      </c>
      <c r="P65" s="11">
        <f t="shared" si="0"/>
        <v>45000</v>
      </c>
      <c r="Q65" s="11">
        <f t="shared" si="13"/>
        <v>22689</v>
      </c>
      <c r="R65" s="59">
        <f t="shared" si="14"/>
        <v>7</v>
      </c>
      <c r="S65" s="59">
        <f t="shared" si="15"/>
        <v>8</v>
      </c>
      <c r="T65" s="11">
        <f t="shared" si="16"/>
        <v>1</v>
      </c>
      <c r="U65" s="120" t="s">
        <v>80</v>
      </c>
      <c r="V65" s="120" t="s">
        <v>682</v>
      </c>
      <c r="W65" s="120" t="s">
        <v>670</v>
      </c>
      <c r="X65" s="120" t="s">
        <v>679</v>
      </c>
      <c r="Y65" s="120" t="s">
        <v>496</v>
      </c>
      <c r="Z65" s="120" t="s">
        <v>98</v>
      </c>
      <c r="AA65" s="120" t="s">
        <v>99</v>
      </c>
      <c r="AB65" s="120" t="s">
        <v>4</v>
      </c>
      <c r="AC65" s="120" t="s">
        <v>82</v>
      </c>
      <c r="AD65" s="120" t="s">
        <v>83</v>
      </c>
      <c r="AE65" s="120" t="s">
        <v>84</v>
      </c>
      <c r="AF65" s="120" t="s">
        <v>100</v>
      </c>
      <c r="AG65" s="133">
        <v>45000</v>
      </c>
      <c r="AH65" s="133">
        <v>45000</v>
      </c>
      <c r="AI65" s="133">
        <v>0</v>
      </c>
      <c r="AJ65" s="133">
        <v>0</v>
      </c>
      <c r="AK65" s="133">
        <v>27000</v>
      </c>
      <c r="AL65" s="120" t="s">
        <v>86</v>
      </c>
      <c r="AM65" s="120" t="s">
        <v>86</v>
      </c>
      <c r="AN65" s="120" t="s">
        <v>86</v>
      </c>
      <c r="AO65" s="120" t="s">
        <v>86</v>
      </c>
      <c r="AP65" s="120" t="s">
        <v>86</v>
      </c>
      <c r="AQ65" s="120" t="s">
        <v>683</v>
      </c>
      <c r="AR65" s="120" t="s">
        <v>684</v>
      </c>
      <c r="AS65" s="120" t="s">
        <v>541</v>
      </c>
      <c r="AT65" s="120" t="s">
        <v>541</v>
      </c>
      <c r="AU65" s="120" t="s">
        <v>102</v>
      </c>
      <c r="AV65" s="120" t="s">
        <v>17</v>
      </c>
      <c r="AW65" s="120" t="s">
        <v>92</v>
      </c>
      <c r="AX65" s="120" t="s">
        <v>103</v>
      </c>
      <c r="AY65" s="120">
        <v>5</v>
      </c>
      <c r="AZ65" s="120">
        <v>5</v>
      </c>
      <c r="BA65" s="120" t="s">
        <v>685</v>
      </c>
      <c r="BB65" s="134" t="s">
        <v>686</v>
      </c>
      <c r="BC65" s="120" t="s">
        <v>86</v>
      </c>
    </row>
    <row r="66" spans="1:55" ht="14.25" customHeight="1">
      <c r="A66" t="str">
        <f>IFERROR(VLOOKUP(AV66,Nómina!B:E,4,0),"")</f>
        <v>MARIA MAGDALENA CASTRO MORGADO</v>
      </c>
      <c r="B66" t="str">
        <f>IFERROR(VLOOKUP(A66,Nómina!E:F,2,0),"")</f>
        <v>13335240-6</v>
      </c>
      <c r="C66" s="30">
        <f t="shared" si="1"/>
        <v>5580</v>
      </c>
      <c r="D66" t="str">
        <f t="shared" si="2"/>
        <v>2026-07-08</v>
      </c>
      <c r="E66" t="str">
        <f t="shared" si="3"/>
        <v>B2C</v>
      </c>
      <c r="F66" t="str">
        <f t="shared" si="4"/>
        <v>Extra</v>
      </c>
      <c r="G66" t="str">
        <f t="shared" si="5"/>
        <v>Individual</v>
      </c>
      <c r="H66" t="str">
        <f t="shared" si="6"/>
        <v>-</v>
      </c>
      <c r="I66" t="str">
        <f t="shared" si="7"/>
        <v>Extra de transporte</v>
      </c>
      <c r="J66" t="str">
        <f t="shared" si="8"/>
        <v>CHICUREO</v>
      </c>
      <c r="K66" t="str">
        <f t="shared" si="9"/>
        <v>Ninguno</v>
      </c>
      <c r="L66">
        <f t="shared" si="10"/>
        <v>5</v>
      </c>
      <c r="M66">
        <f t="shared" si="11"/>
        <v>5</v>
      </c>
      <c r="N66" t="str">
        <f t="shared" si="12"/>
        <v>Excelente!! Me encantó, nada que decir de Magdalena. Gracias</v>
      </c>
      <c r="O66" s="10" t="str">
        <f>+VLOOKUP(Z66,listas!$B:$C,2,0)</f>
        <v>B2C</v>
      </c>
      <c r="P66" s="11">
        <f t="shared" si="0"/>
        <v>6990</v>
      </c>
      <c r="Q66" s="11">
        <f t="shared" si="13"/>
        <v>5580</v>
      </c>
      <c r="R66" s="59">
        <f t="shared" si="14"/>
        <v>7</v>
      </c>
      <c r="S66" s="59">
        <f t="shared" si="15"/>
        <v>8</v>
      </c>
      <c r="T66" s="11">
        <f t="shared" si="16"/>
        <v>1</v>
      </c>
      <c r="U66" s="138" t="s">
        <v>80</v>
      </c>
      <c r="V66" s="138" t="s">
        <v>682</v>
      </c>
      <c r="W66" s="138" t="s">
        <v>670</v>
      </c>
      <c r="X66" s="138" t="s">
        <v>679</v>
      </c>
      <c r="Y66" s="138" t="s">
        <v>496</v>
      </c>
      <c r="Z66" s="138" t="s">
        <v>98</v>
      </c>
      <c r="AA66" s="138" t="s">
        <v>99</v>
      </c>
      <c r="AB66" s="138" t="s">
        <v>4</v>
      </c>
      <c r="AC66" s="138" t="s">
        <v>104</v>
      </c>
      <c r="AD66" s="138" t="s">
        <v>83</v>
      </c>
      <c r="AE66" s="138" t="s">
        <v>105</v>
      </c>
      <c r="AF66" s="138" t="s">
        <v>106</v>
      </c>
      <c r="AG66" s="139">
        <v>6990</v>
      </c>
      <c r="AH66" s="139">
        <v>6990</v>
      </c>
      <c r="AI66" s="139">
        <v>0</v>
      </c>
      <c r="AJ66" s="139">
        <v>0</v>
      </c>
      <c r="AK66" s="139">
        <v>6990</v>
      </c>
      <c r="AL66" s="138" t="s">
        <v>86</v>
      </c>
      <c r="AM66" s="138" t="s">
        <v>86</v>
      </c>
      <c r="AN66" s="138" t="s">
        <v>86</v>
      </c>
      <c r="AO66" s="138" t="s">
        <v>86</v>
      </c>
      <c r="AP66" s="138" t="s">
        <v>86</v>
      </c>
      <c r="AQ66" s="138" t="s">
        <v>683</v>
      </c>
      <c r="AR66" s="138" t="s">
        <v>684</v>
      </c>
      <c r="AS66" s="138" t="s">
        <v>541</v>
      </c>
      <c r="AT66" s="138" t="s">
        <v>541</v>
      </c>
      <c r="AU66" s="138" t="s">
        <v>102</v>
      </c>
      <c r="AV66" s="138" t="s">
        <v>17</v>
      </c>
      <c r="AW66" s="138" t="s">
        <v>92</v>
      </c>
      <c r="AX66" s="138" t="s">
        <v>103</v>
      </c>
      <c r="AY66" s="138">
        <v>5</v>
      </c>
      <c r="AZ66" s="138">
        <v>5</v>
      </c>
      <c r="BA66" s="138" t="s">
        <v>685</v>
      </c>
      <c r="BB66" s="140" t="s">
        <v>686</v>
      </c>
      <c r="BC66" s="138" t="s">
        <v>86</v>
      </c>
    </row>
    <row r="67" spans="1:55" ht="14.25" customHeight="1">
      <c r="A67" t="str">
        <f>IFERROR(VLOOKUP(AV67,Nómina!B:E,4,0),"")</f>
        <v>CLAUDIA MARIA HERNANDEZ CONTRERAS</v>
      </c>
      <c r="B67" t="str">
        <f>IFERROR(VLOOKUP(A67,Nómina!E:F,2,0),"")</f>
        <v>23098075-6</v>
      </c>
      <c r="C67" s="30">
        <f t="shared" si="1"/>
        <v>22689</v>
      </c>
      <c r="D67" t="str">
        <f t="shared" si="2"/>
        <v>2026-07-08</v>
      </c>
      <c r="E67" t="str">
        <f t="shared" si="3"/>
        <v>B2C</v>
      </c>
      <c r="F67" t="str">
        <f t="shared" si="4"/>
        <v>Masaje</v>
      </c>
      <c r="G67" t="str">
        <f t="shared" si="5"/>
        <v>Individual</v>
      </c>
      <c r="H67" t="str">
        <f t="shared" si="6"/>
        <v>60min</v>
      </c>
      <c r="I67" t="str">
        <f t="shared" si="7"/>
        <v>Tejido profundo</v>
      </c>
      <c r="J67" t="str">
        <f t="shared" si="8"/>
        <v>VITACURA</v>
      </c>
      <c r="K67" t="str">
        <f t="shared" si="9"/>
        <v>Ninguno</v>
      </c>
      <c r="L67">
        <f t="shared" si="10"/>
        <v>0</v>
      </c>
      <c r="M67">
        <f t="shared" si="11"/>
        <v>0</v>
      </c>
      <c r="N67" t="str">
        <f t="shared" si="12"/>
        <v/>
      </c>
      <c r="O67" s="10" t="str">
        <f>+VLOOKUP(Z67,listas!$B:$C,2,0)</f>
        <v>B2C</v>
      </c>
      <c r="P67" s="11">
        <f t="shared" ref="P67:P130" si="17">AG67</f>
        <v>45000</v>
      </c>
      <c r="Q67" s="11">
        <f t="shared" si="13"/>
        <v>22689</v>
      </c>
      <c r="R67" s="59">
        <f t="shared" si="14"/>
        <v>7</v>
      </c>
      <c r="S67" s="59">
        <f t="shared" si="15"/>
        <v>8</v>
      </c>
      <c r="T67" s="11">
        <f t="shared" si="16"/>
        <v>1</v>
      </c>
      <c r="U67" s="120" t="s">
        <v>80</v>
      </c>
      <c r="V67" s="120" t="s">
        <v>687</v>
      </c>
      <c r="W67" s="120" t="s">
        <v>679</v>
      </c>
      <c r="X67" s="120" t="s">
        <v>679</v>
      </c>
      <c r="Y67" s="120" t="s">
        <v>534</v>
      </c>
      <c r="Z67" s="120" t="s">
        <v>98</v>
      </c>
      <c r="AA67" s="120" t="s">
        <v>99</v>
      </c>
      <c r="AB67" s="120" t="s">
        <v>4</v>
      </c>
      <c r="AC67" s="120" t="s">
        <v>82</v>
      </c>
      <c r="AD67" s="120" t="s">
        <v>83</v>
      </c>
      <c r="AE67" s="120" t="s">
        <v>84</v>
      </c>
      <c r="AF67" s="120" t="s">
        <v>123</v>
      </c>
      <c r="AG67" s="133">
        <v>45000</v>
      </c>
      <c r="AH67" s="133">
        <v>45000</v>
      </c>
      <c r="AI67" s="133">
        <v>0</v>
      </c>
      <c r="AJ67" s="133">
        <v>0</v>
      </c>
      <c r="AK67" s="133">
        <v>27000</v>
      </c>
      <c r="AL67" s="120" t="s">
        <v>86</v>
      </c>
      <c r="AM67" s="120" t="s">
        <v>86</v>
      </c>
      <c r="AN67" s="120" t="s">
        <v>86</v>
      </c>
      <c r="AO67" s="120" t="s">
        <v>86</v>
      </c>
      <c r="AP67" s="120" t="s">
        <v>86</v>
      </c>
      <c r="AQ67" s="120" t="s">
        <v>688</v>
      </c>
      <c r="AR67" s="120" t="s">
        <v>689</v>
      </c>
      <c r="AS67" s="120" t="s">
        <v>115</v>
      </c>
      <c r="AT67" s="120" t="s">
        <v>115</v>
      </c>
      <c r="AU67" s="120" t="s">
        <v>151</v>
      </c>
      <c r="AV67" s="120" t="s">
        <v>10</v>
      </c>
      <c r="AW67" s="120" t="s">
        <v>92</v>
      </c>
      <c r="AX67" s="120" t="s">
        <v>103</v>
      </c>
      <c r="AY67" s="120">
        <v>0</v>
      </c>
      <c r="AZ67" s="120">
        <v>0</v>
      </c>
      <c r="BA67" s="120" t="s">
        <v>86</v>
      </c>
      <c r="BB67" s="134" t="s">
        <v>690</v>
      </c>
      <c r="BC67" s="120" t="s">
        <v>86</v>
      </c>
    </row>
    <row r="68" spans="1:55" ht="14.25" customHeight="1">
      <c r="A68" t="str">
        <f>IFERROR(VLOOKUP(AV68,Nómina!B:E,4,0),"")</f>
        <v>PAMELA VERONICA CID NAVIA  </v>
      </c>
      <c r="B68" t="str">
        <f>IFERROR(VLOOKUP(A68,Nómina!E:F,2,0),"")</f>
        <v>8008360-2</v>
      </c>
      <c r="C68" s="30">
        <f t="shared" ref="C68:C131" si="18">IFERROR(Q68,"")</f>
        <v>22689</v>
      </c>
      <c r="D68" t="str">
        <f t="shared" ref="D68:D131" si="19">IFERROR(X68,"")</f>
        <v>2026-07-08</v>
      </c>
      <c r="E68" t="str">
        <f t="shared" ref="E68:E131" si="20">IFERROR(O68,"")</f>
        <v>B2C</v>
      </c>
      <c r="F68" t="str">
        <f t="shared" ref="F68:F131" si="21">IFERROR(AC68,"")</f>
        <v>Masaje</v>
      </c>
      <c r="G68" t="str">
        <f t="shared" ref="G68:G131" si="22">IFERROR(AD68,"")</f>
        <v>Individual</v>
      </c>
      <c r="H68" t="str">
        <f t="shared" ref="H68:H131" si="23">IFERROR(AE68,"")</f>
        <v>60min</v>
      </c>
      <c r="I68" t="str">
        <f t="shared" ref="I68:I131" si="24">IFERROR(AF68,"")</f>
        <v>Tejido profundo</v>
      </c>
      <c r="J68" t="str">
        <f t="shared" ref="J68:J131" si="25">IFERROR(AT68,"")</f>
        <v>LAS CONDES</v>
      </c>
      <c r="K68" t="str">
        <f t="shared" ref="K68:K131" si="26">IFERROR(AX68,"")</f>
        <v>Ninguno</v>
      </c>
      <c r="L68">
        <f t="shared" ref="L68:L131" si="27">IFERROR(AY68,"")</f>
        <v>0</v>
      </c>
      <c r="M68">
        <f t="shared" ref="M68:M131" si="28">IFERROR(AZ68,"")</f>
        <v>0</v>
      </c>
      <c r="N68" t="str">
        <f t="shared" ref="N68:N131" si="29">IFERROR(BA68,"")</f>
        <v/>
      </c>
      <c r="O68" s="10" t="str">
        <f>+VLOOKUP(Z68,listas!$B:$C,2,0)</f>
        <v>B2C</v>
      </c>
      <c r="P68" s="11">
        <f t="shared" si="17"/>
        <v>45000</v>
      </c>
      <c r="Q68" s="11">
        <f t="shared" ref="Q68:Q131" si="30">IF(AC68="Extra",IF(AF68="Extra de transporte",ROUND(P68/1.19*0.95,0),ROUND(P68/1.19*0.6,0)),ROUND(P68/1.19*0.6,0))</f>
        <v>22689</v>
      </c>
      <c r="R68" s="59">
        <f t="shared" ref="R68:R131" si="31">MONTH(X68)</f>
        <v>7</v>
      </c>
      <c r="S68" s="59">
        <f t="shared" ref="S68:S131" si="32">DAY(X68)</f>
        <v>8</v>
      </c>
      <c r="T68" s="11">
        <f t="shared" ref="T68:T131" si="33">IF(S68&gt;15,2,1)</f>
        <v>1</v>
      </c>
      <c r="U68" s="120" t="s">
        <v>80</v>
      </c>
      <c r="V68" s="120" t="s">
        <v>691</v>
      </c>
      <c r="W68" s="120" t="s">
        <v>679</v>
      </c>
      <c r="X68" s="120" t="s">
        <v>679</v>
      </c>
      <c r="Y68" s="120" t="s">
        <v>149</v>
      </c>
      <c r="Z68" s="120" t="s">
        <v>98</v>
      </c>
      <c r="AA68" s="120" t="s">
        <v>99</v>
      </c>
      <c r="AB68" s="120" t="s">
        <v>4</v>
      </c>
      <c r="AC68" s="120" t="s">
        <v>82</v>
      </c>
      <c r="AD68" s="120" t="s">
        <v>83</v>
      </c>
      <c r="AE68" s="120" t="s">
        <v>84</v>
      </c>
      <c r="AF68" s="120" t="s">
        <v>123</v>
      </c>
      <c r="AG68" s="133">
        <v>45000</v>
      </c>
      <c r="AH68" s="133">
        <v>45000</v>
      </c>
      <c r="AI68" s="133">
        <v>0</v>
      </c>
      <c r="AJ68" s="133">
        <v>0</v>
      </c>
      <c r="AK68" s="133">
        <v>27000</v>
      </c>
      <c r="AL68" s="120" t="s">
        <v>86</v>
      </c>
      <c r="AM68" s="120" t="s">
        <v>86</v>
      </c>
      <c r="AN68" s="120" t="s">
        <v>86</v>
      </c>
      <c r="AO68" s="120" t="s">
        <v>86</v>
      </c>
      <c r="AP68" s="120" t="s">
        <v>86</v>
      </c>
      <c r="AQ68" s="120" t="s">
        <v>692</v>
      </c>
      <c r="AR68" s="120" t="s">
        <v>693</v>
      </c>
      <c r="AS68" s="120" t="s">
        <v>89</v>
      </c>
      <c r="AT68" s="120" t="s">
        <v>89</v>
      </c>
      <c r="AU68" s="120" t="s">
        <v>144</v>
      </c>
      <c r="AV68" s="120" t="s">
        <v>19</v>
      </c>
      <c r="AW68" s="120" t="s">
        <v>92</v>
      </c>
      <c r="AX68" s="120" t="s">
        <v>103</v>
      </c>
      <c r="AY68" s="120">
        <v>0</v>
      </c>
      <c r="AZ68" s="120">
        <v>0</v>
      </c>
      <c r="BA68" s="120" t="s">
        <v>86</v>
      </c>
      <c r="BB68" s="134" t="s">
        <v>694</v>
      </c>
      <c r="BC68" s="120" t="s">
        <v>86</v>
      </c>
    </row>
    <row r="69" spans="1:55" ht="14.25" customHeight="1">
      <c r="A69" t="str">
        <f>IFERROR(VLOOKUP(AV69,Nómina!B:E,4,0),"")</f>
        <v>PAMELA VERONICA CID NAVIA  </v>
      </c>
      <c r="B69" t="str">
        <f>IFERROR(VLOOKUP(A69,Nómina!E:F,2,0),"")</f>
        <v>8008360-2</v>
      </c>
      <c r="C69" s="30">
        <f t="shared" si="18"/>
        <v>9076</v>
      </c>
      <c r="D69" t="str">
        <f t="shared" si="19"/>
        <v>2026-07-08</v>
      </c>
      <c r="E69" t="str">
        <f t="shared" si="20"/>
        <v>B2C</v>
      </c>
      <c r="F69" t="str">
        <f t="shared" si="21"/>
        <v>Addon</v>
      </c>
      <c r="G69" t="str">
        <f t="shared" si="22"/>
        <v>Individual</v>
      </c>
      <c r="H69" t="str">
        <f t="shared" si="23"/>
        <v>30min</v>
      </c>
      <c r="I69" t="str">
        <f t="shared" si="24"/>
        <v>Craneofacial</v>
      </c>
      <c r="J69" t="str">
        <f t="shared" si="25"/>
        <v>LAS CONDES</v>
      </c>
      <c r="K69" t="str">
        <f t="shared" si="26"/>
        <v>Ninguno</v>
      </c>
      <c r="L69">
        <f t="shared" si="27"/>
        <v>0</v>
      </c>
      <c r="M69">
        <f t="shared" si="28"/>
        <v>0</v>
      </c>
      <c r="N69" t="str">
        <f t="shared" si="29"/>
        <v/>
      </c>
      <c r="O69" s="10" t="str">
        <f>+VLOOKUP(Z69,listas!$B:$C,2,0)</f>
        <v>B2C</v>
      </c>
      <c r="P69" s="11">
        <f t="shared" si="17"/>
        <v>18000</v>
      </c>
      <c r="Q69" s="11">
        <f t="shared" si="30"/>
        <v>9076</v>
      </c>
      <c r="R69" s="59">
        <f t="shared" si="31"/>
        <v>7</v>
      </c>
      <c r="S69" s="59">
        <f t="shared" si="32"/>
        <v>8</v>
      </c>
      <c r="T69" s="11">
        <f t="shared" si="33"/>
        <v>1</v>
      </c>
      <c r="U69" s="135" t="s">
        <v>80</v>
      </c>
      <c r="V69" s="135" t="s">
        <v>691</v>
      </c>
      <c r="W69" s="135" t="s">
        <v>679</v>
      </c>
      <c r="X69" s="135" t="s">
        <v>679</v>
      </c>
      <c r="Y69" s="135" t="s">
        <v>149</v>
      </c>
      <c r="Z69" s="135" t="s">
        <v>98</v>
      </c>
      <c r="AA69" s="135" t="s">
        <v>99</v>
      </c>
      <c r="AB69" s="135" t="s">
        <v>4</v>
      </c>
      <c r="AC69" s="135" t="s">
        <v>93</v>
      </c>
      <c r="AD69" s="135" t="s">
        <v>83</v>
      </c>
      <c r="AE69" s="135" t="s">
        <v>126</v>
      </c>
      <c r="AF69" s="135" t="s">
        <v>96</v>
      </c>
      <c r="AG69" s="136">
        <v>18000</v>
      </c>
      <c r="AH69" s="136">
        <v>18000</v>
      </c>
      <c r="AI69" s="136">
        <v>0</v>
      </c>
      <c r="AJ69" s="136">
        <v>0</v>
      </c>
      <c r="AK69" s="136">
        <v>10800</v>
      </c>
      <c r="AL69" s="135" t="s">
        <v>86</v>
      </c>
      <c r="AM69" s="135" t="s">
        <v>86</v>
      </c>
      <c r="AN69" s="135" t="s">
        <v>86</v>
      </c>
      <c r="AO69" s="135" t="s">
        <v>86</v>
      </c>
      <c r="AP69" s="135" t="s">
        <v>86</v>
      </c>
      <c r="AQ69" s="135" t="s">
        <v>692</v>
      </c>
      <c r="AR69" s="135" t="s">
        <v>693</v>
      </c>
      <c r="AS69" s="135" t="s">
        <v>89</v>
      </c>
      <c r="AT69" s="135" t="s">
        <v>89</v>
      </c>
      <c r="AU69" s="135" t="s">
        <v>144</v>
      </c>
      <c r="AV69" s="135" t="s">
        <v>19</v>
      </c>
      <c r="AW69" s="135" t="s">
        <v>92</v>
      </c>
      <c r="AX69" s="135" t="s">
        <v>103</v>
      </c>
      <c r="AY69" s="135">
        <v>0</v>
      </c>
      <c r="AZ69" s="135">
        <v>0</v>
      </c>
      <c r="BA69" s="135" t="s">
        <v>86</v>
      </c>
      <c r="BB69" s="137" t="s">
        <v>694</v>
      </c>
      <c r="BC69" s="135" t="s">
        <v>86</v>
      </c>
    </row>
    <row r="70" spans="1:55" ht="15" customHeight="1">
      <c r="A70" t="str">
        <f>IFERROR(VLOOKUP(AV70,Nómina!B:E,4,0),"")</f>
        <v>ALEJANDRA PAZ SANCHEZ LENERO</v>
      </c>
      <c r="B70" t="str">
        <f>IFERROR(VLOOKUP(A70,Nómina!E:F,2,0),"")</f>
        <v>13715658-K</v>
      </c>
      <c r="C70" s="30">
        <f t="shared" si="18"/>
        <v>22689</v>
      </c>
      <c r="D70" t="str">
        <f t="shared" si="19"/>
        <v>2026-07-08</v>
      </c>
      <c r="E70" t="str">
        <f t="shared" si="20"/>
        <v>HOTEL</v>
      </c>
      <c r="F70" t="str">
        <f t="shared" si="21"/>
        <v>Masaje</v>
      </c>
      <c r="G70" t="str">
        <f t="shared" si="22"/>
        <v>Individual</v>
      </c>
      <c r="H70" t="str">
        <f t="shared" si="23"/>
        <v>60min</v>
      </c>
      <c r="I70" t="str">
        <f t="shared" si="24"/>
        <v>Relajante</v>
      </c>
      <c r="J70" t="str">
        <f t="shared" si="25"/>
        <v>VITACURA</v>
      </c>
      <c r="K70" t="str">
        <f t="shared" si="26"/>
        <v>Huésped: Jesus Lopez Hab: 403</v>
      </c>
      <c r="L70">
        <f t="shared" si="27"/>
        <v>0</v>
      </c>
      <c r="M70">
        <f t="shared" si="28"/>
        <v>0</v>
      </c>
      <c r="N70" t="str">
        <f t="shared" si="29"/>
        <v/>
      </c>
      <c r="O70" s="10" t="str">
        <f>+VLOOKUP(Z70,listas!$B:$C,2,0)</f>
        <v>HOTEL</v>
      </c>
      <c r="P70" s="11">
        <f t="shared" si="17"/>
        <v>45000</v>
      </c>
      <c r="Q70" s="11">
        <f t="shared" si="30"/>
        <v>22689</v>
      </c>
      <c r="R70" s="59">
        <f t="shared" si="31"/>
        <v>7</v>
      </c>
      <c r="S70" s="59">
        <f t="shared" si="32"/>
        <v>8</v>
      </c>
      <c r="T70" s="11">
        <f t="shared" si="33"/>
        <v>1</v>
      </c>
      <c r="U70" s="120" t="s">
        <v>80</v>
      </c>
      <c r="V70" s="120" t="s">
        <v>695</v>
      </c>
      <c r="W70" s="120" t="s">
        <v>679</v>
      </c>
      <c r="X70" s="120" t="s">
        <v>679</v>
      </c>
      <c r="Y70" s="120" t="s">
        <v>122</v>
      </c>
      <c r="Z70" s="120" t="s">
        <v>5</v>
      </c>
      <c r="AA70" s="120" t="s">
        <v>81</v>
      </c>
      <c r="AB70" s="120" t="s">
        <v>5</v>
      </c>
      <c r="AC70" s="120" t="s">
        <v>82</v>
      </c>
      <c r="AD70" s="120" t="s">
        <v>83</v>
      </c>
      <c r="AE70" s="120" t="s">
        <v>84</v>
      </c>
      <c r="AF70" s="120" t="s">
        <v>85</v>
      </c>
      <c r="AG70" s="133">
        <v>45000</v>
      </c>
      <c r="AH70" s="133">
        <v>45000</v>
      </c>
      <c r="AI70" s="133">
        <v>0</v>
      </c>
      <c r="AJ70" s="133">
        <v>0</v>
      </c>
      <c r="AK70" s="133">
        <v>27000</v>
      </c>
      <c r="AL70" s="120" t="s">
        <v>86</v>
      </c>
      <c r="AM70" s="120" t="s">
        <v>86</v>
      </c>
      <c r="AN70" s="120" t="s">
        <v>86</v>
      </c>
      <c r="AO70" s="120" t="s">
        <v>86</v>
      </c>
      <c r="AP70" s="120" t="s">
        <v>86</v>
      </c>
      <c r="AQ70" s="120" t="s">
        <v>696</v>
      </c>
      <c r="AR70" s="120" t="s">
        <v>697</v>
      </c>
      <c r="AS70" s="120" t="s">
        <v>115</v>
      </c>
      <c r="AT70" s="120" t="s">
        <v>115</v>
      </c>
      <c r="AU70" s="120" t="s">
        <v>154</v>
      </c>
      <c r="AV70" s="120" t="s">
        <v>511</v>
      </c>
      <c r="AW70" s="120" t="s">
        <v>92</v>
      </c>
      <c r="AX70" s="120" t="s">
        <v>698</v>
      </c>
      <c r="AY70" s="120">
        <v>0</v>
      </c>
      <c r="AZ70" s="120">
        <v>0</v>
      </c>
      <c r="BA70" s="120" t="s">
        <v>86</v>
      </c>
      <c r="BB70" s="134" t="s">
        <v>699</v>
      </c>
      <c r="BC70" s="120" t="s">
        <v>86</v>
      </c>
    </row>
    <row r="71" spans="1:55" ht="14.25" customHeight="1">
      <c r="A71" t="str">
        <f>IFERROR(VLOOKUP(AV71,Nómina!B:E,4,0),"")</f>
        <v>PAMELA VERONICA CID NAVIA  </v>
      </c>
      <c r="B71" t="str">
        <f>IFERROR(VLOOKUP(A71,Nómina!E:F,2,0),"")</f>
        <v>8008360-2</v>
      </c>
      <c r="C71" s="30">
        <f t="shared" si="18"/>
        <v>22689</v>
      </c>
      <c r="D71" t="str">
        <f t="shared" si="19"/>
        <v>2026-07-08</v>
      </c>
      <c r="E71" t="str">
        <f t="shared" si="20"/>
        <v>B2C</v>
      </c>
      <c r="F71" t="str">
        <f t="shared" si="21"/>
        <v>Masaje</v>
      </c>
      <c r="G71" t="str">
        <f t="shared" si="22"/>
        <v>Pareja</v>
      </c>
      <c r="H71" t="str">
        <f t="shared" si="23"/>
        <v>60min</v>
      </c>
      <c r="I71" t="str">
        <f t="shared" si="24"/>
        <v>Relajante</v>
      </c>
      <c r="J71" t="str">
        <f t="shared" si="25"/>
        <v>PROVIDENCIA</v>
      </c>
      <c r="K71" t="str">
        <f t="shared" si="26"/>
        <v>Ninguno</v>
      </c>
      <c r="L71">
        <f t="shared" si="27"/>
        <v>0</v>
      </c>
      <c r="M71">
        <f t="shared" si="28"/>
        <v>0</v>
      </c>
      <c r="N71" t="str">
        <f t="shared" si="29"/>
        <v/>
      </c>
      <c r="O71" s="10" t="str">
        <f>+VLOOKUP(Z71,listas!$B:$C,2,0)</f>
        <v>B2C</v>
      </c>
      <c r="P71" s="11">
        <f t="shared" si="17"/>
        <v>45000</v>
      </c>
      <c r="Q71" s="11">
        <f t="shared" si="30"/>
        <v>22689</v>
      </c>
      <c r="R71" s="59">
        <f t="shared" si="31"/>
        <v>7</v>
      </c>
      <c r="S71" s="59">
        <f t="shared" si="32"/>
        <v>8</v>
      </c>
      <c r="T71" s="11">
        <f t="shared" si="33"/>
        <v>1</v>
      </c>
      <c r="U71" s="120" t="s">
        <v>80</v>
      </c>
      <c r="V71" s="120" t="s">
        <v>700</v>
      </c>
      <c r="W71" s="120" t="s">
        <v>653</v>
      </c>
      <c r="X71" s="120" t="s">
        <v>679</v>
      </c>
      <c r="Y71" s="120" t="s">
        <v>650</v>
      </c>
      <c r="Z71" s="120" t="s">
        <v>98</v>
      </c>
      <c r="AA71" s="120" t="s">
        <v>131</v>
      </c>
      <c r="AB71" s="120" t="s">
        <v>4</v>
      </c>
      <c r="AC71" s="120" t="s">
        <v>82</v>
      </c>
      <c r="AD71" s="120" t="s">
        <v>119</v>
      </c>
      <c r="AE71" s="120" t="s">
        <v>84</v>
      </c>
      <c r="AF71" s="120" t="s">
        <v>85</v>
      </c>
      <c r="AG71" s="133">
        <v>45000</v>
      </c>
      <c r="AH71" s="133">
        <v>38250</v>
      </c>
      <c r="AI71" s="133">
        <v>0</v>
      </c>
      <c r="AJ71" s="133">
        <v>6750</v>
      </c>
      <c r="AK71" s="133">
        <v>27000</v>
      </c>
      <c r="AL71" s="120" t="s">
        <v>546</v>
      </c>
      <c r="AM71" s="120" t="s">
        <v>86</v>
      </c>
      <c r="AN71" s="120" t="s">
        <v>86</v>
      </c>
      <c r="AO71" s="120" t="s">
        <v>86</v>
      </c>
      <c r="AP71" s="120" t="s">
        <v>86</v>
      </c>
      <c r="AQ71" s="120" t="s">
        <v>701</v>
      </c>
      <c r="AR71" s="120" t="s">
        <v>702</v>
      </c>
      <c r="AS71" s="120" t="s">
        <v>143</v>
      </c>
      <c r="AT71" s="120" t="s">
        <v>143</v>
      </c>
      <c r="AU71" s="120" t="s">
        <v>144</v>
      </c>
      <c r="AV71" s="120" t="s">
        <v>19</v>
      </c>
      <c r="AW71" s="120" t="s">
        <v>92</v>
      </c>
      <c r="AX71" s="120" t="s">
        <v>103</v>
      </c>
      <c r="AY71" s="120">
        <v>0</v>
      </c>
      <c r="AZ71" s="120">
        <v>0</v>
      </c>
      <c r="BA71" s="120" t="s">
        <v>86</v>
      </c>
      <c r="BB71" s="134" t="s">
        <v>703</v>
      </c>
      <c r="BC71" s="120" t="s">
        <v>86</v>
      </c>
    </row>
    <row r="72" spans="1:55" ht="14.25" customHeight="1">
      <c r="A72" t="str">
        <f>IFERROR(VLOOKUP(AV72,Nómina!B:E,4,0),"")</f>
        <v>GENESIS DANIELA PIMENTEL HERRERA</v>
      </c>
      <c r="B72" t="str">
        <f>IFERROR(VLOOKUP(A72,Nómina!E:F,2,0),"")</f>
        <v>26598096-1</v>
      </c>
      <c r="C72" s="30">
        <f t="shared" si="18"/>
        <v>22689</v>
      </c>
      <c r="D72" t="str">
        <f t="shared" si="19"/>
        <v>2026-07-08</v>
      </c>
      <c r="E72" t="str">
        <f t="shared" si="20"/>
        <v>B2C</v>
      </c>
      <c r="F72" t="str">
        <f t="shared" si="21"/>
        <v>Masaje</v>
      </c>
      <c r="G72" t="str">
        <f t="shared" si="22"/>
        <v>Pareja</v>
      </c>
      <c r="H72" t="str">
        <f t="shared" si="23"/>
        <v>60min</v>
      </c>
      <c r="I72" t="str">
        <f t="shared" si="24"/>
        <v>Relajante</v>
      </c>
      <c r="J72" t="str">
        <f t="shared" si="25"/>
        <v>PROVIDENCIA</v>
      </c>
      <c r="K72" t="str">
        <f t="shared" si="26"/>
        <v>Ninguno</v>
      </c>
      <c r="L72">
        <f t="shared" si="27"/>
        <v>0</v>
      </c>
      <c r="M72">
        <f t="shared" si="28"/>
        <v>0</v>
      </c>
      <c r="N72" t="str">
        <f t="shared" si="29"/>
        <v/>
      </c>
      <c r="O72" s="10" t="str">
        <f>+VLOOKUP(Z72,listas!$B:$C,2,0)</f>
        <v>B2C</v>
      </c>
      <c r="P72" s="11">
        <f t="shared" si="17"/>
        <v>45000</v>
      </c>
      <c r="Q72" s="11">
        <f t="shared" si="30"/>
        <v>22689</v>
      </c>
      <c r="R72" s="59">
        <f t="shared" si="31"/>
        <v>7</v>
      </c>
      <c r="S72" s="59">
        <f t="shared" si="32"/>
        <v>8</v>
      </c>
      <c r="T72" s="11">
        <f t="shared" si="33"/>
        <v>1</v>
      </c>
      <c r="U72" s="120" t="s">
        <v>80</v>
      </c>
      <c r="V72" s="120" t="s">
        <v>700</v>
      </c>
      <c r="W72" s="120" t="s">
        <v>653</v>
      </c>
      <c r="X72" s="120" t="s">
        <v>679</v>
      </c>
      <c r="Y72" s="120" t="s">
        <v>650</v>
      </c>
      <c r="Z72" s="120" t="s">
        <v>98</v>
      </c>
      <c r="AA72" s="120" t="s">
        <v>131</v>
      </c>
      <c r="AB72" s="120" t="s">
        <v>4</v>
      </c>
      <c r="AC72" s="120" t="s">
        <v>82</v>
      </c>
      <c r="AD72" s="120" t="s">
        <v>119</v>
      </c>
      <c r="AE72" s="120" t="s">
        <v>84</v>
      </c>
      <c r="AF72" s="120" t="s">
        <v>85</v>
      </c>
      <c r="AG72" s="133">
        <v>45000</v>
      </c>
      <c r="AH72" s="133">
        <v>38250</v>
      </c>
      <c r="AI72" s="133">
        <v>0</v>
      </c>
      <c r="AJ72" s="133">
        <v>6750</v>
      </c>
      <c r="AK72" s="133">
        <v>27000</v>
      </c>
      <c r="AL72" s="120" t="s">
        <v>546</v>
      </c>
      <c r="AM72" s="120" t="s">
        <v>86</v>
      </c>
      <c r="AN72" s="120" t="s">
        <v>86</v>
      </c>
      <c r="AO72" s="120" t="s">
        <v>86</v>
      </c>
      <c r="AP72" s="120" t="s">
        <v>86</v>
      </c>
      <c r="AQ72" s="120" t="s">
        <v>701</v>
      </c>
      <c r="AR72" s="120" t="s">
        <v>702</v>
      </c>
      <c r="AS72" s="120" t="s">
        <v>143</v>
      </c>
      <c r="AT72" s="120" t="s">
        <v>143</v>
      </c>
      <c r="AU72" s="120" t="s">
        <v>141</v>
      </c>
      <c r="AV72" s="120" t="s">
        <v>552</v>
      </c>
      <c r="AW72" s="120" t="s">
        <v>92</v>
      </c>
      <c r="AX72" s="120" t="s">
        <v>103</v>
      </c>
      <c r="AY72" s="120">
        <v>0</v>
      </c>
      <c r="AZ72" s="120">
        <v>0</v>
      </c>
      <c r="BA72" s="120" t="s">
        <v>86</v>
      </c>
      <c r="BB72" s="134" t="s">
        <v>703</v>
      </c>
      <c r="BC72" s="120" t="s">
        <v>86</v>
      </c>
    </row>
    <row r="73" spans="1:55" ht="14.25" customHeight="1">
      <c r="A73" t="str">
        <f>IFERROR(VLOOKUP(AV73,Nómina!B:E,4,0),"")</f>
        <v>DANIELA ANTONIA ALARCON ELIZALDE</v>
      </c>
      <c r="B73" t="str">
        <f>IFERROR(VLOOKUP(A73,Nómina!E:F,2,0),"")</f>
        <v>15893769-7</v>
      </c>
      <c r="C73" s="30">
        <f t="shared" si="18"/>
        <v>22689</v>
      </c>
      <c r="D73" t="str">
        <f t="shared" si="19"/>
        <v>2026-07-09</v>
      </c>
      <c r="E73" t="str">
        <f t="shared" si="20"/>
        <v>ALIANZA</v>
      </c>
      <c r="F73" t="str">
        <f t="shared" si="21"/>
        <v>Masaje</v>
      </c>
      <c r="G73" t="str">
        <f t="shared" si="22"/>
        <v>Individual</v>
      </c>
      <c r="H73" t="str">
        <f t="shared" si="23"/>
        <v>60min</v>
      </c>
      <c r="I73" t="str">
        <f t="shared" si="24"/>
        <v>Relajante</v>
      </c>
      <c r="J73" t="str">
        <f t="shared" si="25"/>
        <v>CERRILLOS</v>
      </c>
      <c r="K73" t="str">
        <f t="shared" si="26"/>
        <v>Código Bigbox: DDNKPU2K</v>
      </c>
      <c r="L73">
        <f t="shared" si="27"/>
        <v>0</v>
      </c>
      <c r="M73">
        <f t="shared" si="28"/>
        <v>0</v>
      </c>
      <c r="N73" t="str">
        <f t="shared" si="29"/>
        <v/>
      </c>
      <c r="O73" s="10" t="str">
        <f>+VLOOKUP(Z73,listas!$B:$C,2,0)</f>
        <v>ALIANZA</v>
      </c>
      <c r="P73" s="11">
        <f t="shared" si="17"/>
        <v>45000</v>
      </c>
      <c r="Q73" s="11">
        <f t="shared" si="30"/>
        <v>22689</v>
      </c>
      <c r="R73" s="59">
        <f t="shared" si="31"/>
        <v>7</v>
      </c>
      <c r="S73" s="59">
        <f t="shared" si="32"/>
        <v>9</v>
      </c>
      <c r="T73" s="11">
        <f t="shared" si="33"/>
        <v>1</v>
      </c>
      <c r="U73" s="120" t="s">
        <v>80</v>
      </c>
      <c r="V73" s="120" t="s">
        <v>704</v>
      </c>
      <c r="W73" s="120" t="s">
        <v>670</v>
      </c>
      <c r="X73" s="120" t="s">
        <v>705</v>
      </c>
      <c r="Y73" s="120" t="s">
        <v>118</v>
      </c>
      <c r="Z73" s="120" t="s">
        <v>515</v>
      </c>
      <c r="AA73" s="120" t="s">
        <v>81</v>
      </c>
      <c r="AB73" s="120" t="s">
        <v>2</v>
      </c>
      <c r="AC73" s="120" t="s">
        <v>82</v>
      </c>
      <c r="AD73" s="120" t="s">
        <v>83</v>
      </c>
      <c r="AE73" s="120" t="s">
        <v>84</v>
      </c>
      <c r="AF73" s="120" t="s">
        <v>85</v>
      </c>
      <c r="AG73" s="133">
        <v>45000</v>
      </c>
      <c r="AH73" s="133">
        <v>45000</v>
      </c>
      <c r="AI73" s="133">
        <v>0</v>
      </c>
      <c r="AJ73" s="133">
        <v>0</v>
      </c>
      <c r="AK73" s="133">
        <v>27000</v>
      </c>
      <c r="AL73" s="120" t="s">
        <v>86</v>
      </c>
      <c r="AM73" s="120" t="s">
        <v>86</v>
      </c>
      <c r="AN73" s="120" t="s">
        <v>86</v>
      </c>
      <c r="AO73" s="120" t="s">
        <v>86</v>
      </c>
      <c r="AP73" s="120" t="s">
        <v>86</v>
      </c>
      <c r="AQ73" s="120" t="s">
        <v>706</v>
      </c>
      <c r="AR73" s="120" t="s">
        <v>707</v>
      </c>
      <c r="AS73" s="120" t="s">
        <v>708</v>
      </c>
      <c r="AT73" s="120" t="s">
        <v>708</v>
      </c>
      <c r="AU73" s="120" t="s">
        <v>168</v>
      </c>
      <c r="AV73" s="120" t="s">
        <v>510</v>
      </c>
      <c r="AW73" s="120" t="s">
        <v>92</v>
      </c>
      <c r="AX73" s="120" t="s">
        <v>709</v>
      </c>
      <c r="AY73" s="120">
        <v>0</v>
      </c>
      <c r="AZ73" s="120">
        <v>0</v>
      </c>
      <c r="BA73" s="120" t="s">
        <v>86</v>
      </c>
      <c r="BB73" s="134" t="s">
        <v>710</v>
      </c>
      <c r="BC73" s="120" t="s">
        <v>86</v>
      </c>
    </row>
    <row r="74" spans="1:55" ht="14.25" customHeight="1">
      <c r="A74" t="str">
        <f>IFERROR(VLOOKUP(AV74,Nómina!B:E,4,0),"")</f>
        <v>WILLESKA ORTEGA JUSTO</v>
      </c>
      <c r="B74" t="str">
        <f>IFERROR(VLOOKUP(A74,Nómina!E:F,2,0),"")</f>
        <v>25310926-2</v>
      </c>
      <c r="C74" s="30">
        <f t="shared" si="18"/>
        <v>22689</v>
      </c>
      <c r="D74" t="str">
        <f t="shared" si="19"/>
        <v>2026-07-09</v>
      </c>
      <c r="E74" t="str">
        <f t="shared" si="20"/>
        <v>B2C</v>
      </c>
      <c r="F74" t="str">
        <f t="shared" si="21"/>
        <v>Masaje</v>
      </c>
      <c r="G74" t="str">
        <f t="shared" si="22"/>
        <v>Individual</v>
      </c>
      <c r="H74" t="str">
        <f t="shared" si="23"/>
        <v>60min</v>
      </c>
      <c r="I74" t="str">
        <f t="shared" si="24"/>
        <v>Deportivo</v>
      </c>
      <c r="J74" t="str">
        <f t="shared" si="25"/>
        <v>SANTIAGO DE CHILE</v>
      </c>
      <c r="K74" t="str">
        <f t="shared" si="26"/>
        <v>Ninguno</v>
      </c>
      <c r="L74">
        <f t="shared" si="27"/>
        <v>0</v>
      </c>
      <c r="M74">
        <f t="shared" si="28"/>
        <v>0</v>
      </c>
      <c r="N74" t="str">
        <f t="shared" si="29"/>
        <v/>
      </c>
      <c r="O74" s="10" t="str">
        <f>+VLOOKUP(Z74,listas!$B:$C,2,0)</f>
        <v>B2C</v>
      </c>
      <c r="P74" s="11">
        <f t="shared" si="17"/>
        <v>45000</v>
      </c>
      <c r="Q74" s="11">
        <f t="shared" si="30"/>
        <v>22689</v>
      </c>
      <c r="R74" s="59">
        <f t="shared" si="31"/>
        <v>7</v>
      </c>
      <c r="S74" s="59">
        <f t="shared" si="32"/>
        <v>9</v>
      </c>
      <c r="T74" s="11">
        <f t="shared" si="33"/>
        <v>1</v>
      </c>
      <c r="U74" s="120" t="s">
        <v>80</v>
      </c>
      <c r="V74" s="120" t="s">
        <v>711</v>
      </c>
      <c r="W74" s="120" t="s">
        <v>679</v>
      </c>
      <c r="X74" s="120" t="s">
        <v>705</v>
      </c>
      <c r="Y74" s="120" t="s">
        <v>536</v>
      </c>
      <c r="Z74" s="120" t="s">
        <v>98</v>
      </c>
      <c r="AA74" s="120" t="s">
        <v>131</v>
      </c>
      <c r="AB74" s="120" t="s">
        <v>4</v>
      </c>
      <c r="AC74" s="120" t="s">
        <v>82</v>
      </c>
      <c r="AD74" s="120" t="s">
        <v>83</v>
      </c>
      <c r="AE74" s="120" t="s">
        <v>84</v>
      </c>
      <c r="AF74" s="120" t="s">
        <v>150</v>
      </c>
      <c r="AG74" s="133">
        <v>45000</v>
      </c>
      <c r="AH74" s="133">
        <v>45000</v>
      </c>
      <c r="AI74" s="133">
        <v>0</v>
      </c>
      <c r="AJ74" s="133">
        <v>0</v>
      </c>
      <c r="AK74" s="133">
        <v>27000</v>
      </c>
      <c r="AL74" s="120" t="s">
        <v>86</v>
      </c>
      <c r="AM74" s="120" t="s">
        <v>86</v>
      </c>
      <c r="AN74" s="120" t="s">
        <v>86</v>
      </c>
      <c r="AO74" s="120" t="s">
        <v>86</v>
      </c>
      <c r="AP74" s="120" t="s">
        <v>86</v>
      </c>
      <c r="AQ74" s="120" t="s">
        <v>712</v>
      </c>
      <c r="AR74" s="120" t="s">
        <v>713</v>
      </c>
      <c r="AS74" s="120" t="s">
        <v>108</v>
      </c>
      <c r="AT74" s="120" t="s">
        <v>90</v>
      </c>
      <c r="AU74" s="120" t="s">
        <v>116</v>
      </c>
      <c r="AV74" s="120" t="s">
        <v>21</v>
      </c>
      <c r="AW74" s="120" t="s">
        <v>92</v>
      </c>
      <c r="AX74" s="120" t="s">
        <v>103</v>
      </c>
      <c r="AY74" s="120">
        <v>0</v>
      </c>
      <c r="AZ74" s="120">
        <v>0</v>
      </c>
      <c r="BA74" s="120" t="s">
        <v>86</v>
      </c>
      <c r="BB74" s="134" t="s">
        <v>714</v>
      </c>
      <c r="BC74" s="120" t="s">
        <v>86</v>
      </c>
    </row>
    <row r="75" spans="1:55" ht="14.25" customHeight="1">
      <c r="A75" t="str">
        <f>IFERROR(VLOOKUP(AV75,Nómina!B:E,4,0),"")</f>
        <v>WILLESKA ORTEGA JUSTO</v>
      </c>
      <c r="B75" t="str">
        <f>IFERROR(VLOOKUP(A75,Nómina!E:F,2,0),"")</f>
        <v>25310926-2</v>
      </c>
      <c r="C75" s="30">
        <f t="shared" si="18"/>
        <v>9076</v>
      </c>
      <c r="D75" t="str">
        <f t="shared" si="19"/>
        <v>2026-07-09</v>
      </c>
      <c r="E75" t="str">
        <f t="shared" si="20"/>
        <v>B2C</v>
      </c>
      <c r="F75" t="str">
        <f t="shared" si="21"/>
        <v>Addon</v>
      </c>
      <c r="G75" t="str">
        <f t="shared" si="22"/>
        <v>Individual</v>
      </c>
      <c r="H75" t="str">
        <f t="shared" si="23"/>
        <v>30min</v>
      </c>
      <c r="I75" t="str">
        <f t="shared" si="24"/>
        <v>Craneofacial</v>
      </c>
      <c r="J75" t="str">
        <f t="shared" si="25"/>
        <v>SANTIAGO DE CHILE</v>
      </c>
      <c r="K75" t="str">
        <f t="shared" si="26"/>
        <v>Ninguno</v>
      </c>
      <c r="L75">
        <f t="shared" si="27"/>
        <v>0</v>
      </c>
      <c r="M75">
        <f t="shared" si="28"/>
        <v>0</v>
      </c>
      <c r="N75" t="str">
        <f t="shared" si="29"/>
        <v/>
      </c>
      <c r="O75" s="10" t="str">
        <f>+VLOOKUP(Z75,listas!$B:$C,2,0)</f>
        <v>B2C</v>
      </c>
      <c r="P75" s="11">
        <f t="shared" si="17"/>
        <v>18000</v>
      </c>
      <c r="Q75" s="11">
        <f t="shared" si="30"/>
        <v>9076</v>
      </c>
      <c r="R75" s="59">
        <f t="shared" si="31"/>
        <v>7</v>
      </c>
      <c r="S75" s="59">
        <f t="shared" si="32"/>
        <v>9</v>
      </c>
      <c r="T75" s="11">
        <f t="shared" si="33"/>
        <v>1</v>
      </c>
      <c r="U75" s="135" t="s">
        <v>80</v>
      </c>
      <c r="V75" s="135" t="s">
        <v>711</v>
      </c>
      <c r="W75" s="135" t="s">
        <v>679</v>
      </c>
      <c r="X75" s="135" t="s">
        <v>705</v>
      </c>
      <c r="Y75" s="135" t="s">
        <v>536</v>
      </c>
      <c r="Z75" s="135" t="s">
        <v>98</v>
      </c>
      <c r="AA75" s="135" t="s">
        <v>131</v>
      </c>
      <c r="AB75" s="135" t="s">
        <v>4</v>
      </c>
      <c r="AC75" s="135" t="s">
        <v>93</v>
      </c>
      <c r="AD75" s="135" t="s">
        <v>83</v>
      </c>
      <c r="AE75" s="135" t="s">
        <v>126</v>
      </c>
      <c r="AF75" s="135" t="s">
        <v>96</v>
      </c>
      <c r="AG75" s="136">
        <v>18000</v>
      </c>
      <c r="AH75" s="136">
        <v>18000</v>
      </c>
      <c r="AI75" s="136">
        <v>0</v>
      </c>
      <c r="AJ75" s="136">
        <v>0</v>
      </c>
      <c r="AK75" s="136">
        <v>10800</v>
      </c>
      <c r="AL75" s="135" t="s">
        <v>86</v>
      </c>
      <c r="AM75" s="135" t="s">
        <v>86</v>
      </c>
      <c r="AN75" s="135" t="s">
        <v>86</v>
      </c>
      <c r="AO75" s="135" t="s">
        <v>86</v>
      </c>
      <c r="AP75" s="135" t="s">
        <v>86</v>
      </c>
      <c r="AQ75" s="135" t="s">
        <v>712</v>
      </c>
      <c r="AR75" s="135" t="s">
        <v>713</v>
      </c>
      <c r="AS75" s="135" t="s">
        <v>108</v>
      </c>
      <c r="AT75" s="135" t="s">
        <v>90</v>
      </c>
      <c r="AU75" s="135" t="s">
        <v>116</v>
      </c>
      <c r="AV75" s="135" t="s">
        <v>21</v>
      </c>
      <c r="AW75" s="135" t="s">
        <v>92</v>
      </c>
      <c r="AX75" s="135" t="s">
        <v>103</v>
      </c>
      <c r="AY75" s="135">
        <v>0</v>
      </c>
      <c r="AZ75" s="135">
        <v>0</v>
      </c>
      <c r="BA75" s="135" t="s">
        <v>86</v>
      </c>
      <c r="BB75" s="137" t="s">
        <v>714</v>
      </c>
      <c r="BC75" s="135" t="s">
        <v>86</v>
      </c>
    </row>
    <row r="76" spans="1:55" ht="14.25" customHeight="1">
      <c r="A76" t="str">
        <f>IFERROR(VLOOKUP(AV76,Nómina!B:E,4,0),"")</f>
        <v>WILLESKA ORTEGA JUSTO</v>
      </c>
      <c r="B76" t="str">
        <f>IFERROR(VLOOKUP(A76,Nómina!E:F,2,0),"")</f>
        <v>25310926-2</v>
      </c>
      <c r="C76" s="30">
        <f t="shared" si="18"/>
        <v>3185</v>
      </c>
      <c r="D76" t="str">
        <f t="shared" si="19"/>
        <v>2026-07-09</v>
      </c>
      <c r="E76" t="str">
        <f t="shared" si="20"/>
        <v>B2C</v>
      </c>
      <c r="F76" t="str">
        <f t="shared" si="21"/>
        <v>Extra</v>
      </c>
      <c r="G76" t="str">
        <f t="shared" si="22"/>
        <v>Individual</v>
      </c>
      <c r="H76" t="str">
        <f t="shared" si="23"/>
        <v>-</v>
      </c>
      <c r="I76" t="str">
        <f t="shared" si="24"/>
        <v>Extra de transporte</v>
      </c>
      <c r="J76" t="str">
        <f t="shared" si="25"/>
        <v>SANTIAGO DE CHILE</v>
      </c>
      <c r="K76" t="str">
        <f t="shared" si="26"/>
        <v>Ninguno</v>
      </c>
      <c r="L76">
        <f t="shared" si="27"/>
        <v>0</v>
      </c>
      <c r="M76">
        <f t="shared" si="28"/>
        <v>0</v>
      </c>
      <c r="N76" t="str">
        <f t="shared" si="29"/>
        <v/>
      </c>
      <c r="O76" s="10" t="str">
        <f>+VLOOKUP(Z76,listas!$B:$C,2,0)</f>
        <v>B2C</v>
      </c>
      <c r="P76" s="11">
        <f t="shared" si="17"/>
        <v>3990</v>
      </c>
      <c r="Q76" s="11">
        <f t="shared" si="30"/>
        <v>3185</v>
      </c>
      <c r="R76" s="59">
        <f t="shared" si="31"/>
        <v>7</v>
      </c>
      <c r="S76" s="59">
        <f t="shared" si="32"/>
        <v>9</v>
      </c>
      <c r="T76" s="11">
        <f t="shared" si="33"/>
        <v>1</v>
      </c>
      <c r="U76" s="138" t="s">
        <v>80</v>
      </c>
      <c r="V76" s="138" t="s">
        <v>711</v>
      </c>
      <c r="W76" s="138" t="s">
        <v>679</v>
      </c>
      <c r="X76" s="138" t="s">
        <v>705</v>
      </c>
      <c r="Y76" s="138" t="s">
        <v>536</v>
      </c>
      <c r="Z76" s="138" t="s">
        <v>98</v>
      </c>
      <c r="AA76" s="138" t="s">
        <v>131</v>
      </c>
      <c r="AB76" s="138" t="s">
        <v>4</v>
      </c>
      <c r="AC76" s="138" t="s">
        <v>104</v>
      </c>
      <c r="AD76" s="138" t="s">
        <v>83</v>
      </c>
      <c r="AE76" s="138" t="s">
        <v>105</v>
      </c>
      <c r="AF76" s="138" t="s">
        <v>106</v>
      </c>
      <c r="AG76" s="139">
        <v>3990</v>
      </c>
      <c r="AH76" s="139">
        <v>3990</v>
      </c>
      <c r="AI76" s="139">
        <v>0</v>
      </c>
      <c r="AJ76" s="139">
        <v>0</v>
      </c>
      <c r="AK76" s="139">
        <v>3990</v>
      </c>
      <c r="AL76" s="138" t="s">
        <v>86</v>
      </c>
      <c r="AM76" s="138" t="s">
        <v>86</v>
      </c>
      <c r="AN76" s="138" t="s">
        <v>86</v>
      </c>
      <c r="AO76" s="138" t="s">
        <v>86</v>
      </c>
      <c r="AP76" s="138" t="s">
        <v>86</v>
      </c>
      <c r="AQ76" s="138" t="s">
        <v>712</v>
      </c>
      <c r="AR76" s="138" t="s">
        <v>713</v>
      </c>
      <c r="AS76" s="138" t="s">
        <v>108</v>
      </c>
      <c r="AT76" s="138" t="s">
        <v>90</v>
      </c>
      <c r="AU76" s="138" t="s">
        <v>116</v>
      </c>
      <c r="AV76" s="138" t="s">
        <v>21</v>
      </c>
      <c r="AW76" s="138" t="s">
        <v>92</v>
      </c>
      <c r="AX76" s="138" t="s">
        <v>103</v>
      </c>
      <c r="AY76" s="138">
        <v>0</v>
      </c>
      <c r="AZ76" s="138">
        <v>0</v>
      </c>
      <c r="BA76" s="138" t="s">
        <v>86</v>
      </c>
      <c r="BB76" s="140" t="s">
        <v>714</v>
      </c>
      <c r="BC76" s="138" t="s">
        <v>86</v>
      </c>
    </row>
    <row r="77" spans="1:55" ht="14.25" customHeight="1">
      <c r="A77" t="str">
        <f>IFERROR(VLOOKUP(AV77,Nómina!B:E,4,0),"")</f>
        <v>MARIA ELIANA BENAVIDES HIGUERA </v>
      </c>
      <c r="B77" t="str">
        <f>IFERROR(VLOOKUP(A77,Nómina!E:F,2,0),"")</f>
        <v>15168787-3</v>
      </c>
      <c r="C77" s="30">
        <f t="shared" si="18"/>
        <v>31765</v>
      </c>
      <c r="D77" t="str">
        <f t="shared" si="19"/>
        <v>2026-07-09</v>
      </c>
      <c r="E77" t="str">
        <f t="shared" si="20"/>
        <v>HOTEL</v>
      </c>
      <c r="F77" t="str">
        <f t="shared" si="21"/>
        <v>Masaje</v>
      </c>
      <c r="G77" t="str">
        <f t="shared" si="22"/>
        <v>Individual</v>
      </c>
      <c r="H77" t="str">
        <f t="shared" si="23"/>
        <v>90min</v>
      </c>
      <c r="I77" t="str">
        <f t="shared" si="24"/>
        <v>Drenaje Linfático</v>
      </c>
      <c r="J77" t="str">
        <f t="shared" si="25"/>
        <v>LAS CONDES</v>
      </c>
      <c r="K77" t="str">
        <f t="shared" si="26"/>
        <v>Nombre huésped: Maria Reumann
Número de habitación: 1210</v>
      </c>
      <c r="L77">
        <f t="shared" si="27"/>
        <v>0</v>
      </c>
      <c r="M77">
        <f t="shared" si="28"/>
        <v>0</v>
      </c>
      <c r="N77" t="str">
        <f t="shared" si="29"/>
        <v/>
      </c>
      <c r="O77" s="10" t="str">
        <f>+VLOOKUP(Z77,listas!$B:$C,2,0)</f>
        <v>HOTEL</v>
      </c>
      <c r="P77" s="11">
        <f t="shared" si="17"/>
        <v>63000</v>
      </c>
      <c r="Q77" s="11">
        <f t="shared" si="30"/>
        <v>31765</v>
      </c>
      <c r="R77" s="59">
        <f t="shared" si="31"/>
        <v>7</v>
      </c>
      <c r="S77" s="59">
        <f t="shared" si="32"/>
        <v>9</v>
      </c>
      <c r="T77" s="11">
        <f t="shared" si="33"/>
        <v>1</v>
      </c>
      <c r="U77" s="120" t="s">
        <v>80</v>
      </c>
      <c r="V77" s="120" t="s">
        <v>715</v>
      </c>
      <c r="W77" s="120" t="s">
        <v>705</v>
      </c>
      <c r="X77" s="120" t="s">
        <v>705</v>
      </c>
      <c r="Y77" s="120" t="s">
        <v>134</v>
      </c>
      <c r="Z77" s="120" t="s">
        <v>5</v>
      </c>
      <c r="AA77" s="120" t="s">
        <v>81</v>
      </c>
      <c r="AB77" s="120" t="s">
        <v>5</v>
      </c>
      <c r="AC77" s="120" t="s">
        <v>82</v>
      </c>
      <c r="AD77" s="120" t="s">
        <v>83</v>
      </c>
      <c r="AE77" s="120" t="s">
        <v>146</v>
      </c>
      <c r="AF77" s="120" t="s">
        <v>129</v>
      </c>
      <c r="AG77" s="133">
        <v>63000</v>
      </c>
      <c r="AH77" s="133">
        <v>63000</v>
      </c>
      <c r="AI77" s="133">
        <v>0</v>
      </c>
      <c r="AJ77" s="133">
        <v>0</v>
      </c>
      <c r="AK77" s="133">
        <v>37800</v>
      </c>
      <c r="AL77" s="120" t="s">
        <v>86</v>
      </c>
      <c r="AM77" s="120" t="s">
        <v>86</v>
      </c>
      <c r="AN77" s="120" t="s">
        <v>86</v>
      </c>
      <c r="AO77" s="120" t="s">
        <v>86</v>
      </c>
      <c r="AP77" s="120" t="s">
        <v>86</v>
      </c>
      <c r="AQ77" s="120" t="s">
        <v>87</v>
      </c>
      <c r="AR77" s="120" t="s">
        <v>88</v>
      </c>
      <c r="AS77" s="120" t="s">
        <v>89</v>
      </c>
      <c r="AT77" s="120" t="s">
        <v>89</v>
      </c>
      <c r="AU77" s="120" t="s">
        <v>147</v>
      </c>
      <c r="AV77" s="120" t="s">
        <v>13</v>
      </c>
      <c r="AW77" s="120" t="s">
        <v>92</v>
      </c>
      <c r="AX77" s="120" t="s">
        <v>716</v>
      </c>
      <c r="AY77" s="120">
        <v>0</v>
      </c>
      <c r="AZ77" s="120">
        <v>0</v>
      </c>
      <c r="BA77" s="120" t="s">
        <v>86</v>
      </c>
      <c r="BB77" s="134" t="s">
        <v>717</v>
      </c>
      <c r="BC77" s="120" t="s">
        <v>86</v>
      </c>
    </row>
    <row r="78" spans="1:55" ht="14.25" customHeight="1">
      <c r="A78" t="str">
        <f>IFERROR(VLOOKUP(AV78,Nómina!B:E,4,0),"")</f>
        <v>MARIA ELIANA BENAVIDES HIGUERA </v>
      </c>
      <c r="B78" t="str">
        <f>IFERROR(VLOOKUP(A78,Nómina!E:F,2,0),"")</f>
        <v>15168787-3</v>
      </c>
      <c r="C78" s="30">
        <f t="shared" si="18"/>
        <v>6050</v>
      </c>
      <c r="D78" t="str">
        <f t="shared" si="19"/>
        <v>2026-07-09</v>
      </c>
      <c r="E78" t="str">
        <f t="shared" si="20"/>
        <v>HOTEL</v>
      </c>
      <c r="F78" t="str">
        <f t="shared" si="21"/>
        <v>Addon</v>
      </c>
      <c r="G78" t="str">
        <f t="shared" si="22"/>
        <v>Individual</v>
      </c>
      <c r="H78" t="str">
        <f t="shared" si="23"/>
        <v>15min</v>
      </c>
      <c r="I78" t="str">
        <f t="shared" si="24"/>
        <v>Yoga Facial</v>
      </c>
      <c r="J78" t="str">
        <f t="shared" si="25"/>
        <v>LAS CONDES</v>
      </c>
      <c r="K78" t="str">
        <f t="shared" si="26"/>
        <v>Nombre huésped: Maria Reumann
Número de habitación: 1210</v>
      </c>
      <c r="L78">
        <f t="shared" si="27"/>
        <v>0</v>
      </c>
      <c r="M78">
        <f t="shared" si="28"/>
        <v>0</v>
      </c>
      <c r="N78" t="str">
        <f t="shared" si="29"/>
        <v/>
      </c>
      <c r="O78" s="10" t="str">
        <f>+VLOOKUP(Z78,listas!$B:$C,2,0)</f>
        <v>HOTEL</v>
      </c>
      <c r="P78" s="11">
        <f t="shared" si="17"/>
        <v>12000</v>
      </c>
      <c r="Q78" s="11">
        <f t="shared" si="30"/>
        <v>6050</v>
      </c>
      <c r="R78" s="59">
        <f t="shared" si="31"/>
        <v>7</v>
      </c>
      <c r="S78" s="59">
        <f t="shared" si="32"/>
        <v>9</v>
      </c>
      <c r="T78" s="11">
        <f t="shared" si="33"/>
        <v>1</v>
      </c>
      <c r="U78" s="135" t="s">
        <v>80</v>
      </c>
      <c r="V78" s="135" t="s">
        <v>715</v>
      </c>
      <c r="W78" s="135" t="s">
        <v>705</v>
      </c>
      <c r="X78" s="135" t="s">
        <v>705</v>
      </c>
      <c r="Y78" s="135" t="s">
        <v>134</v>
      </c>
      <c r="Z78" s="135" t="s">
        <v>5</v>
      </c>
      <c r="AA78" s="135" t="s">
        <v>81</v>
      </c>
      <c r="AB78" s="135" t="s">
        <v>5</v>
      </c>
      <c r="AC78" s="135" t="s">
        <v>93</v>
      </c>
      <c r="AD78" s="135" t="s">
        <v>83</v>
      </c>
      <c r="AE78" s="135" t="s">
        <v>94</v>
      </c>
      <c r="AF78" s="135" t="s">
        <v>113</v>
      </c>
      <c r="AG78" s="136">
        <v>12000</v>
      </c>
      <c r="AH78" s="136">
        <v>12000</v>
      </c>
      <c r="AI78" s="136">
        <v>0</v>
      </c>
      <c r="AJ78" s="136">
        <v>0</v>
      </c>
      <c r="AK78" s="136">
        <v>7200</v>
      </c>
      <c r="AL78" s="135" t="s">
        <v>86</v>
      </c>
      <c r="AM78" s="135" t="s">
        <v>86</v>
      </c>
      <c r="AN78" s="135" t="s">
        <v>86</v>
      </c>
      <c r="AO78" s="135" t="s">
        <v>86</v>
      </c>
      <c r="AP78" s="135" t="s">
        <v>86</v>
      </c>
      <c r="AQ78" s="135" t="s">
        <v>87</v>
      </c>
      <c r="AR78" s="135" t="s">
        <v>88</v>
      </c>
      <c r="AS78" s="135" t="s">
        <v>89</v>
      </c>
      <c r="AT78" s="135" t="s">
        <v>89</v>
      </c>
      <c r="AU78" s="135" t="s">
        <v>147</v>
      </c>
      <c r="AV78" s="135" t="s">
        <v>13</v>
      </c>
      <c r="AW78" s="135" t="s">
        <v>92</v>
      </c>
      <c r="AX78" s="135" t="s">
        <v>716</v>
      </c>
      <c r="AY78" s="135">
        <v>0</v>
      </c>
      <c r="AZ78" s="135">
        <v>0</v>
      </c>
      <c r="BA78" s="135" t="s">
        <v>86</v>
      </c>
      <c r="BB78" s="137" t="s">
        <v>717</v>
      </c>
      <c r="BC78" s="135" t="s">
        <v>86</v>
      </c>
    </row>
    <row r="79" spans="1:55" ht="14.25" customHeight="1">
      <c r="A79" t="str">
        <f>IFERROR(VLOOKUP(AV79,Nómina!B:E,4,0),"")</f>
        <v>PAMELA VERONICA CID NAVIA  </v>
      </c>
      <c r="B79" t="str">
        <f>IFERROR(VLOOKUP(A79,Nómina!E:F,2,0),"")</f>
        <v>8008360-2</v>
      </c>
      <c r="C79" s="30">
        <f t="shared" si="18"/>
        <v>22689</v>
      </c>
      <c r="D79" t="str">
        <f t="shared" si="19"/>
        <v>2026-07-09</v>
      </c>
      <c r="E79" t="str">
        <f t="shared" si="20"/>
        <v>B2C</v>
      </c>
      <c r="F79" t="str">
        <f t="shared" si="21"/>
        <v>Masaje</v>
      </c>
      <c r="G79" t="str">
        <f t="shared" si="22"/>
        <v>Individual</v>
      </c>
      <c r="H79" t="str">
        <f t="shared" si="23"/>
        <v>60min</v>
      </c>
      <c r="I79" t="str">
        <f t="shared" si="24"/>
        <v>Tejido profundo</v>
      </c>
      <c r="J79" t="str">
        <f t="shared" si="25"/>
        <v>LA REINA</v>
      </c>
      <c r="K79" t="str">
        <f t="shared" si="26"/>
        <v>Ninguno</v>
      </c>
      <c r="L79">
        <f t="shared" si="27"/>
        <v>0</v>
      </c>
      <c r="M79">
        <f t="shared" si="28"/>
        <v>0</v>
      </c>
      <c r="N79" t="str">
        <f t="shared" si="29"/>
        <v/>
      </c>
      <c r="O79" s="10" t="str">
        <f>+VLOOKUP(Z79,listas!$B:$C,2,0)</f>
        <v>B2C</v>
      </c>
      <c r="P79" s="11">
        <f t="shared" si="17"/>
        <v>45000</v>
      </c>
      <c r="Q79" s="11">
        <f t="shared" si="30"/>
        <v>22689</v>
      </c>
      <c r="R79" s="59">
        <f t="shared" si="31"/>
        <v>7</v>
      </c>
      <c r="S79" s="59">
        <f t="shared" si="32"/>
        <v>9</v>
      </c>
      <c r="T79" s="11">
        <f t="shared" si="33"/>
        <v>1</v>
      </c>
      <c r="U79" s="120" t="s">
        <v>80</v>
      </c>
      <c r="V79" s="120" t="s">
        <v>718</v>
      </c>
      <c r="W79" s="120" t="s">
        <v>545</v>
      </c>
      <c r="X79" s="120" t="s">
        <v>705</v>
      </c>
      <c r="Y79" s="120" t="s">
        <v>128</v>
      </c>
      <c r="Z79" s="120" t="s">
        <v>164</v>
      </c>
      <c r="AA79" s="120" t="s">
        <v>99</v>
      </c>
      <c r="AB79" s="120" t="s">
        <v>4</v>
      </c>
      <c r="AC79" s="120" t="s">
        <v>82</v>
      </c>
      <c r="AD79" s="120" t="s">
        <v>83</v>
      </c>
      <c r="AE79" s="120" t="s">
        <v>84</v>
      </c>
      <c r="AF79" s="120" t="s">
        <v>123</v>
      </c>
      <c r="AG79" s="133">
        <v>45000</v>
      </c>
      <c r="AH79" s="133">
        <v>5000</v>
      </c>
      <c r="AI79" s="133">
        <v>40000</v>
      </c>
      <c r="AJ79" s="133">
        <v>0</v>
      </c>
      <c r="AK79" s="133">
        <v>27000</v>
      </c>
      <c r="AL79" s="120" t="s">
        <v>86</v>
      </c>
      <c r="AM79" s="120" t="s">
        <v>86</v>
      </c>
      <c r="AN79" s="120" t="s">
        <v>86</v>
      </c>
      <c r="AO79" s="120" t="s">
        <v>86</v>
      </c>
      <c r="AP79" s="120" t="s">
        <v>86</v>
      </c>
      <c r="AQ79" s="120" t="s">
        <v>719</v>
      </c>
      <c r="AR79" s="120" t="s">
        <v>720</v>
      </c>
      <c r="AS79" s="120" t="s">
        <v>171</v>
      </c>
      <c r="AT79" s="120" t="s">
        <v>171</v>
      </c>
      <c r="AU79" s="120" t="s">
        <v>144</v>
      </c>
      <c r="AV79" s="120" t="s">
        <v>19</v>
      </c>
      <c r="AW79" s="120" t="s">
        <v>92</v>
      </c>
      <c r="AX79" s="120" t="s">
        <v>103</v>
      </c>
      <c r="AY79" s="120">
        <v>0</v>
      </c>
      <c r="AZ79" s="120">
        <v>0</v>
      </c>
      <c r="BA79" s="120" t="s">
        <v>86</v>
      </c>
      <c r="BB79" s="134" t="s">
        <v>721</v>
      </c>
      <c r="BC79" s="120" t="s">
        <v>86</v>
      </c>
    </row>
    <row r="80" spans="1:55" ht="14.25" customHeight="1">
      <c r="A80" t="str">
        <f>IFERROR(VLOOKUP(AV80,Nómina!B:E,4,0),"")</f>
        <v>EUGENIA ISABEL MONTOYA VIELMA</v>
      </c>
      <c r="B80" t="str">
        <f>IFERROR(VLOOKUP(A80,Nómina!E:F,2,0),"")</f>
        <v>12897620-5</v>
      </c>
      <c r="C80" s="30">
        <f t="shared" si="18"/>
        <v>22689</v>
      </c>
      <c r="D80" t="str">
        <f t="shared" si="19"/>
        <v>2026-07-09</v>
      </c>
      <c r="E80" t="str">
        <f t="shared" si="20"/>
        <v>HOTEL</v>
      </c>
      <c r="F80" t="str">
        <f t="shared" si="21"/>
        <v>Masaje</v>
      </c>
      <c r="G80" t="str">
        <f t="shared" si="22"/>
        <v>Individual</v>
      </c>
      <c r="H80" t="str">
        <f t="shared" si="23"/>
        <v>60min</v>
      </c>
      <c r="I80" t="str">
        <f t="shared" si="24"/>
        <v>Relajante</v>
      </c>
      <c r="J80" t="str">
        <f t="shared" si="25"/>
        <v>VITACURA</v>
      </c>
      <c r="K80" t="str">
        <f t="shared" si="26"/>
        <v>Habitación por confirmar</v>
      </c>
      <c r="L80">
        <f t="shared" si="27"/>
        <v>0</v>
      </c>
      <c r="M80">
        <f t="shared" si="28"/>
        <v>0</v>
      </c>
      <c r="N80" t="str">
        <f t="shared" si="29"/>
        <v/>
      </c>
      <c r="O80" s="10" t="str">
        <f>+VLOOKUP(Z80,listas!$B:$C,2,0)</f>
        <v>HOTEL</v>
      </c>
      <c r="P80" s="11">
        <f t="shared" si="17"/>
        <v>45000</v>
      </c>
      <c r="Q80" s="11">
        <f t="shared" si="30"/>
        <v>22689</v>
      </c>
      <c r="R80" s="59">
        <f t="shared" si="31"/>
        <v>7</v>
      </c>
      <c r="S80" s="59">
        <f t="shared" si="32"/>
        <v>9</v>
      </c>
      <c r="T80" s="11">
        <f t="shared" si="33"/>
        <v>1</v>
      </c>
      <c r="U80" s="120" t="s">
        <v>80</v>
      </c>
      <c r="V80" s="120" t="s">
        <v>722</v>
      </c>
      <c r="W80" s="120" t="s">
        <v>653</v>
      </c>
      <c r="X80" s="120" t="s">
        <v>705</v>
      </c>
      <c r="Y80" s="120" t="s">
        <v>128</v>
      </c>
      <c r="Z80" s="120" t="s">
        <v>5</v>
      </c>
      <c r="AA80" s="120" t="s">
        <v>81</v>
      </c>
      <c r="AB80" s="120" t="s">
        <v>5</v>
      </c>
      <c r="AC80" s="120" t="s">
        <v>82</v>
      </c>
      <c r="AD80" s="120" t="s">
        <v>83</v>
      </c>
      <c r="AE80" s="120" t="s">
        <v>84</v>
      </c>
      <c r="AF80" s="120" t="s">
        <v>85</v>
      </c>
      <c r="AG80" s="133">
        <v>45000</v>
      </c>
      <c r="AH80" s="133">
        <v>45000</v>
      </c>
      <c r="AI80" s="133">
        <v>0</v>
      </c>
      <c r="AJ80" s="133">
        <v>0</v>
      </c>
      <c r="AK80" s="133">
        <v>27000</v>
      </c>
      <c r="AL80" s="120" t="s">
        <v>86</v>
      </c>
      <c r="AM80" s="120" t="s">
        <v>86</v>
      </c>
      <c r="AN80" s="120" t="s">
        <v>86</v>
      </c>
      <c r="AO80" s="120" t="s">
        <v>86</v>
      </c>
      <c r="AP80" s="120" t="s">
        <v>86</v>
      </c>
      <c r="AQ80" s="120" t="s">
        <v>124</v>
      </c>
      <c r="AR80" s="120" t="s">
        <v>125</v>
      </c>
      <c r="AS80" s="120" t="s">
        <v>115</v>
      </c>
      <c r="AT80" s="120" t="s">
        <v>115</v>
      </c>
      <c r="AU80" s="120" t="s">
        <v>152</v>
      </c>
      <c r="AV80" s="120" t="s">
        <v>14</v>
      </c>
      <c r="AW80" s="120" t="s">
        <v>92</v>
      </c>
      <c r="AX80" s="120" t="s">
        <v>723</v>
      </c>
      <c r="AY80" s="120">
        <v>0</v>
      </c>
      <c r="AZ80" s="120">
        <v>0</v>
      </c>
      <c r="BA80" s="120" t="s">
        <v>86</v>
      </c>
      <c r="BB80" s="134" t="s">
        <v>724</v>
      </c>
      <c r="BC80" s="120" t="s">
        <v>86</v>
      </c>
    </row>
    <row r="81" spans="1:55" ht="14.25" customHeight="1">
      <c r="A81" t="str">
        <f>IFERROR(VLOOKUP(AV81,Nómina!B:E,4,0),"")</f>
        <v>PAMELA CONSTANZA HUILITRARO QUEZADA</v>
      </c>
      <c r="B81" t="str">
        <f>IFERROR(VLOOKUP(A81,Nómina!E:F,2,0),"")</f>
        <v>18881513-8</v>
      </c>
      <c r="C81" s="30">
        <f t="shared" si="18"/>
        <v>22689</v>
      </c>
      <c r="D81" t="str">
        <f t="shared" si="19"/>
        <v>2026-07-09</v>
      </c>
      <c r="E81" t="str">
        <f t="shared" si="20"/>
        <v>HOTEL</v>
      </c>
      <c r="F81" t="str">
        <f t="shared" si="21"/>
        <v>Masaje</v>
      </c>
      <c r="G81" t="str">
        <f t="shared" si="22"/>
        <v>Individual</v>
      </c>
      <c r="H81" t="str">
        <f t="shared" si="23"/>
        <v>60min</v>
      </c>
      <c r="I81" t="str">
        <f t="shared" si="24"/>
        <v>Prenatal</v>
      </c>
      <c r="J81" t="str">
        <f t="shared" si="25"/>
        <v>VITACURA</v>
      </c>
      <c r="K81" t="str">
        <f t="shared" si="26"/>
        <v>Habitación por confirmar</v>
      </c>
      <c r="L81">
        <f t="shared" si="27"/>
        <v>0</v>
      </c>
      <c r="M81">
        <f t="shared" si="28"/>
        <v>0</v>
      </c>
      <c r="N81" t="str">
        <f t="shared" si="29"/>
        <v/>
      </c>
      <c r="O81" s="10" t="str">
        <f>+VLOOKUP(Z81,listas!$B:$C,2,0)</f>
        <v>HOTEL</v>
      </c>
      <c r="P81" s="11">
        <f t="shared" si="17"/>
        <v>45000</v>
      </c>
      <c r="Q81" s="11">
        <f t="shared" si="30"/>
        <v>22689</v>
      </c>
      <c r="R81" s="59">
        <f t="shared" si="31"/>
        <v>7</v>
      </c>
      <c r="S81" s="59">
        <f t="shared" si="32"/>
        <v>9</v>
      </c>
      <c r="T81" s="11">
        <f t="shared" si="33"/>
        <v>1</v>
      </c>
      <c r="U81" s="120" t="s">
        <v>80</v>
      </c>
      <c r="V81" s="120" t="s">
        <v>725</v>
      </c>
      <c r="W81" s="120" t="s">
        <v>653</v>
      </c>
      <c r="X81" s="120" t="s">
        <v>705</v>
      </c>
      <c r="Y81" s="120" t="s">
        <v>128</v>
      </c>
      <c r="Z81" s="120" t="s">
        <v>5</v>
      </c>
      <c r="AA81" s="120" t="s">
        <v>81</v>
      </c>
      <c r="AB81" s="120" t="s">
        <v>5</v>
      </c>
      <c r="AC81" s="120" t="s">
        <v>82</v>
      </c>
      <c r="AD81" s="120" t="s">
        <v>83</v>
      </c>
      <c r="AE81" s="120" t="s">
        <v>84</v>
      </c>
      <c r="AF81" s="120" t="s">
        <v>100</v>
      </c>
      <c r="AG81" s="133">
        <v>45000</v>
      </c>
      <c r="AH81" s="133">
        <v>45000</v>
      </c>
      <c r="AI81" s="133">
        <v>0</v>
      </c>
      <c r="AJ81" s="133">
        <v>0</v>
      </c>
      <c r="AK81" s="133">
        <v>27000</v>
      </c>
      <c r="AL81" s="120" t="s">
        <v>86</v>
      </c>
      <c r="AM81" s="120" t="s">
        <v>86</v>
      </c>
      <c r="AN81" s="120" t="s">
        <v>86</v>
      </c>
      <c r="AO81" s="120" t="s">
        <v>86</v>
      </c>
      <c r="AP81" s="120" t="s">
        <v>86</v>
      </c>
      <c r="AQ81" s="120" t="s">
        <v>124</v>
      </c>
      <c r="AR81" s="120" t="s">
        <v>125</v>
      </c>
      <c r="AS81" s="120" t="s">
        <v>115</v>
      </c>
      <c r="AT81" s="120" t="s">
        <v>115</v>
      </c>
      <c r="AU81" s="120" t="s">
        <v>91</v>
      </c>
      <c r="AV81" s="120" t="s">
        <v>20</v>
      </c>
      <c r="AW81" s="120" t="s">
        <v>92</v>
      </c>
      <c r="AX81" s="120" t="s">
        <v>723</v>
      </c>
      <c r="AY81" s="120">
        <v>0</v>
      </c>
      <c r="AZ81" s="120">
        <v>0</v>
      </c>
      <c r="BA81" s="120" t="s">
        <v>86</v>
      </c>
      <c r="BB81" s="134" t="s">
        <v>726</v>
      </c>
      <c r="BC81" s="120" t="s">
        <v>86</v>
      </c>
    </row>
    <row r="82" spans="1:55" ht="14.25" customHeight="1">
      <c r="A82" t="str">
        <f>IFERROR(VLOOKUP(AV82,Nómina!B:E,4,0),"")</f>
        <v>IVVO LEANDRO VERGARA SALINAS</v>
      </c>
      <c r="B82" t="str">
        <f>IFERROR(VLOOKUP(A82,Nómina!E:F,2,0),"")</f>
        <v>17681238-9</v>
      </c>
      <c r="C82" s="30">
        <f t="shared" si="18"/>
        <v>22689</v>
      </c>
      <c r="D82" t="str">
        <f t="shared" si="19"/>
        <v>2026-07-09</v>
      </c>
      <c r="E82" t="str">
        <f t="shared" si="20"/>
        <v>HOTEL</v>
      </c>
      <c r="F82" t="str">
        <f t="shared" si="21"/>
        <v>Masaje</v>
      </c>
      <c r="G82" t="str">
        <f t="shared" si="22"/>
        <v>Individual</v>
      </c>
      <c r="H82" t="str">
        <f t="shared" si="23"/>
        <v>60min</v>
      </c>
      <c r="I82" t="str">
        <f t="shared" si="24"/>
        <v>Tejido profundo</v>
      </c>
      <c r="J82" t="str">
        <f t="shared" si="25"/>
        <v>VITACURA</v>
      </c>
      <c r="K82" t="str">
        <f t="shared" si="26"/>
        <v>Habitación por confirmar</v>
      </c>
      <c r="L82">
        <f t="shared" si="27"/>
        <v>0</v>
      </c>
      <c r="M82">
        <f t="shared" si="28"/>
        <v>0</v>
      </c>
      <c r="N82" t="str">
        <f t="shared" si="29"/>
        <v/>
      </c>
      <c r="O82" s="10" t="str">
        <f>+VLOOKUP(Z82,listas!$B:$C,2,0)</f>
        <v>HOTEL</v>
      </c>
      <c r="P82" s="11">
        <f t="shared" si="17"/>
        <v>45000</v>
      </c>
      <c r="Q82" s="11">
        <f t="shared" si="30"/>
        <v>22689</v>
      </c>
      <c r="R82" s="59">
        <f t="shared" si="31"/>
        <v>7</v>
      </c>
      <c r="S82" s="59">
        <f t="shared" si="32"/>
        <v>9</v>
      </c>
      <c r="T82" s="11">
        <f t="shared" si="33"/>
        <v>1</v>
      </c>
      <c r="U82" s="120" t="s">
        <v>80</v>
      </c>
      <c r="V82" s="120" t="s">
        <v>727</v>
      </c>
      <c r="W82" s="120" t="s">
        <v>653</v>
      </c>
      <c r="X82" s="120" t="s">
        <v>705</v>
      </c>
      <c r="Y82" s="120" t="s">
        <v>128</v>
      </c>
      <c r="Z82" s="120" t="s">
        <v>5</v>
      </c>
      <c r="AA82" s="120" t="s">
        <v>81</v>
      </c>
      <c r="AB82" s="120" t="s">
        <v>5</v>
      </c>
      <c r="AC82" s="120" t="s">
        <v>82</v>
      </c>
      <c r="AD82" s="120" t="s">
        <v>83</v>
      </c>
      <c r="AE82" s="120" t="s">
        <v>84</v>
      </c>
      <c r="AF82" s="120" t="s">
        <v>123</v>
      </c>
      <c r="AG82" s="133">
        <v>45000</v>
      </c>
      <c r="AH82" s="133">
        <v>45000</v>
      </c>
      <c r="AI82" s="133">
        <v>0</v>
      </c>
      <c r="AJ82" s="133">
        <v>0</v>
      </c>
      <c r="AK82" s="133">
        <v>27000</v>
      </c>
      <c r="AL82" s="120" t="s">
        <v>86</v>
      </c>
      <c r="AM82" s="120" t="s">
        <v>86</v>
      </c>
      <c r="AN82" s="120" t="s">
        <v>86</v>
      </c>
      <c r="AO82" s="120" t="s">
        <v>86</v>
      </c>
      <c r="AP82" s="120" t="s">
        <v>86</v>
      </c>
      <c r="AQ82" s="120" t="s">
        <v>124</v>
      </c>
      <c r="AR82" s="120" t="s">
        <v>125</v>
      </c>
      <c r="AS82" s="120" t="s">
        <v>115</v>
      </c>
      <c r="AT82" s="120" t="s">
        <v>115</v>
      </c>
      <c r="AU82" s="120" t="s">
        <v>381</v>
      </c>
      <c r="AV82" s="120" t="s">
        <v>25</v>
      </c>
      <c r="AW82" s="120" t="s">
        <v>92</v>
      </c>
      <c r="AX82" s="120" t="s">
        <v>723</v>
      </c>
      <c r="AY82" s="120">
        <v>0</v>
      </c>
      <c r="AZ82" s="120">
        <v>0</v>
      </c>
      <c r="BA82" s="120" t="s">
        <v>86</v>
      </c>
      <c r="BB82" s="134" t="s">
        <v>728</v>
      </c>
      <c r="BC82" s="120" t="s">
        <v>86</v>
      </c>
    </row>
    <row r="83" spans="1:55" ht="14.25" customHeight="1">
      <c r="A83" t="str">
        <f>IFERROR(VLOOKUP(AV83,Nómina!B:E,4,0),"")</f>
        <v>SERGIO RODRÍGUEZ</v>
      </c>
      <c r="B83" t="str">
        <f>IFERROR(VLOOKUP(A83,Nómina!E:F,2,0),"")</f>
        <v>27988098-6</v>
      </c>
      <c r="C83" s="30">
        <f t="shared" si="18"/>
        <v>22689</v>
      </c>
      <c r="D83" t="str">
        <f t="shared" si="19"/>
        <v>2026-07-09</v>
      </c>
      <c r="E83" t="str">
        <f t="shared" si="20"/>
        <v>HOTEL</v>
      </c>
      <c r="F83" t="str">
        <f t="shared" si="21"/>
        <v>Masaje</v>
      </c>
      <c r="G83" t="str">
        <f t="shared" si="22"/>
        <v>Individual</v>
      </c>
      <c r="H83" t="str">
        <f t="shared" si="23"/>
        <v>60min</v>
      </c>
      <c r="I83" t="str">
        <f t="shared" si="24"/>
        <v>Relajante</v>
      </c>
      <c r="J83" t="str">
        <f t="shared" si="25"/>
        <v>VITACURA</v>
      </c>
      <c r="K83" t="str">
        <f t="shared" si="26"/>
        <v>Habitación por confirmar</v>
      </c>
      <c r="L83">
        <f t="shared" si="27"/>
        <v>0</v>
      </c>
      <c r="M83">
        <f t="shared" si="28"/>
        <v>0</v>
      </c>
      <c r="N83" t="str">
        <f t="shared" si="29"/>
        <v/>
      </c>
      <c r="O83" s="10" t="str">
        <f>+VLOOKUP(Z83,listas!$B:$C,2,0)</f>
        <v>HOTEL</v>
      </c>
      <c r="P83" s="11">
        <f t="shared" si="17"/>
        <v>45000</v>
      </c>
      <c r="Q83" s="11">
        <f t="shared" si="30"/>
        <v>22689</v>
      </c>
      <c r="R83" s="59">
        <f t="shared" si="31"/>
        <v>7</v>
      </c>
      <c r="S83" s="59">
        <f t="shared" si="32"/>
        <v>9</v>
      </c>
      <c r="T83" s="11">
        <f t="shared" si="33"/>
        <v>1</v>
      </c>
      <c r="U83" s="120" t="s">
        <v>80</v>
      </c>
      <c r="V83" s="120" t="s">
        <v>729</v>
      </c>
      <c r="W83" s="120" t="s">
        <v>653</v>
      </c>
      <c r="X83" s="120" t="s">
        <v>705</v>
      </c>
      <c r="Y83" s="120" t="s">
        <v>128</v>
      </c>
      <c r="Z83" s="120" t="s">
        <v>5</v>
      </c>
      <c r="AA83" s="120" t="s">
        <v>81</v>
      </c>
      <c r="AB83" s="120" t="s">
        <v>5</v>
      </c>
      <c r="AC83" s="120" t="s">
        <v>82</v>
      </c>
      <c r="AD83" s="120" t="s">
        <v>83</v>
      </c>
      <c r="AE83" s="120" t="s">
        <v>84</v>
      </c>
      <c r="AF83" s="120" t="s">
        <v>85</v>
      </c>
      <c r="AG83" s="133">
        <v>45000</v>
      </c>
      <c r="AH83" s="133">
        <v>45000</v>
      </c>
      <c r="AI83" s="133">
        <v>0</v>
      </c>
      <c r="AJ83" s="133">
        <v>0</v>
      </c>
      <c r="AK83" s="133">
        <v>27000</v>
      </c>
      <c r="AL83" s="120" t="s">
        <v>86</v>
      </c>
      <c r="AM83" s="120" t="s">
        <v>86</v>
      </c>
      <c r="AN83" s="120" t="s">
        <v>86</v>
      </c>
      <c r="AO83" s="120" t="s">
        <v>86</v>
      </c>
      <c r="AP83" s="120" t="s">
        <v>86</v>
      </c>
      <c r="AQ83" s="120" t="s">
        <v>124</v>
      </c>
      <c r="AR83" s="120" t="s">
        <v>125</v>
      </c>
      <c r="AS83" s="120" t="s">
        <v>115</v>
      </c>
      <c r="AT83" s="120" t="s">
        <v>115</v>
      </c>
      <c r="AU83" s="120" t="s">
        <v>315</v>
      </c>
      <c r="AV83" s="120" t="s">
        <v>316</v>
      </c>
      <c r="AW83" s="120" t="s">
        <v>92</v>
      </c>
      <c r="AX83" s="120" t="s">
        <v>723</v>
      </c>
      <c r="AY83" s="120">
        <v>0</v>
      </c>
      <c r="AZ83" s="120">
        <v>0</v>
      </c>
      <c r="BA83" s="120" t="s">
        <v>86</v>
      </c>
      <c r="BB83" s="134" t="s">
        <v>730</v>
      </c>
      <c r="BC83" s="120" t="s">
        <v>86</v>
      </c>
    </row>
    <row r="84" spans="1:55" ht="14.25" customHeight="1">
      <c r="A84" t="str">
        <f>IFERROR(VLOOKUP(AV84,Nómina!B:E,4,0),"")</f>
        <v>SERGIO RODRÍGUEZ</v>
      </c>
      <c r="B84" t="str">
        <f>IFERROR(VLOOKUP(A84,Nómina!E:F,2,0),"")</f>
        <v>27988098-6</v>
      </c>
      <c r="C84" s="30">
        <f t="shared" si="18"/>
        <v>22689</v>
      </c>
      <c r="D84" t="str">
        <f t="shared" si="19"/>
        <v>2026-07-09</v>
      </c>
      <c r="E84" t="str">
        <f t="shared" si="20"/>
        <v>HOTEL</v>
      </c>
      <c r="F84" t="str">
        <f t="shared" si="21"/>
        <v>Masaje</v>
      </c>
      <c r="G84" t="str">
        <f t="shared" si="22"/>
        <v>Individual</v>
      </c>
      <c r="H84" t="str">
        <f t="shared" si="23"/>
        <v>60min</v>
      </c>
      <c r="I84" t="str">
        <f t="shared" si="24"/>
        <v>Relajante</v>
      </c>
      <c r="J84" t="str">
        <f t="shared" si="25"/>
        <v>VITACURA</v>
      </c>
      <c r="K84" t="str">
        <f t="shared" si="26"/>
        <v>Habitación por confirmar</v>
      </c>
      <c r="L84">
        <f t="shared" si="27"/>
        <v>0</v>
      </c>
      <c r="M84">
        <f t="shared" si="28"/>
        <v>0</v>
      </c>
      <c r="N84" t="str">
        <f t="shared" si="29"/>
        <v/>
      </c>
      <c r="O84" s="10" t="str">
        <f>+VLOOKUP(Z84,listas!$B:$C,2,0)</f>
        <v>HOTEL</v>
      </c>
      <c r="P84" s="11">
        <f t="shared" si="17"/>
        <v>45000</v>
      </c>
      <c r="Q84" s="11">
        <f t="shared" si="30"/>
        <v>22689</v>
      </c>
      <c r="R84" s="59">
        <f t="shared" si="31"/>
        <v>7</v>
      </c>
      <c r="S84" s="59">
        <f t="shared" si="32"/>
        <v>9</v>
      </c>
      <c r="T84" s="11">
        <f t="shared" si="33"/>
        <v>1</v>
      </c>
      <c r="U84" s="120" t="s">
        <v>80</v>
      </c>
      <c r="V84" s="120" t="s">
        <v>731</v>
      </c>
      <c r="W84" s="120" t="s">
        <v>653</v>
      </c>
      <c r="X84" s="120" t="s">
        <v>705</v>
      </c>
      <c r="Y84" s="120" t="s">
        <v>130</v>
      </c>
      <c r="Z84" s="120" t="s">
        <v>5</v>
      </c>
      <c r="AA84" s="120" t="s">
        <v>81</v>
      </c>
      <c r="AB84" s="120" t="s">
        <v>5</v>
      </c>
      <c r="AC84" s="120" t="s">
        <v>82</v>
      </c>
      <c r="AD84" s="120" t="s">
        <v>83</v>
      </c>
      <c r="AE84" s="120" t="s">
        <v>84</v>
      </c>
      <c r="AF84" s="120" t="s">
        <v>85</v>
      </c>
      <c r="AG84" s="133">
        <v>45000</v>
      </c>
      <c r="AH84" s="133">
        <v>45000</v>
      </c>
      <c r="AI84" s="133">
        <v>0</v>
      </c>
      <c r="AJ84" s="133">
        <v>0</v>
      </c>
      <c r="AK84" s="133">
        <v>27000</v>
      </c>
      <c r="AL84" s="120" t="s">
        <v>86</v>
      </c>
      <c r="AM84" s="120" t="s">
        <v>86</v>
      </c>
      <c r="AN84" s="120" t="s">
        <v>86</v>
      </c>
      <c r="AO84" s="120" t="s">
        <v>86</v>
      </c>
      <c r="AP84" s="120" t="s">
        <v>86</v>
      </c>
      <c r="AQ84" s="120" t="s">
        <v>124</v>
      </c>
      <c r="AR84" s="120" t="s">
        <v>125</v>
      </c>
      <c r="AS84" s="120" t="s">
        <v>115</v>
      </c>
      <c r="AT84" s="120" t="s">
        <v>115</v>
      </c>
      <c r="AU84" s="120" t="s">
        <v>315</v>
      </c>
      <c r="AV84" s="120" t="s">
        <v>316</v>
      </c>
      <c r="AW84" s="120" t="s">
        <v>92</v>
      </c>
      <c r="AX84" s="120" t="s">
        <v>723</v>
      </c>
      <c r="AY84" s="120">
        <v>0</v>
      </c>
      <c r="AZ84" s="120">
        <v>0</v>
      </c>
      <c r="BA84" s="120" t="s">
        <v>86</v>
      </c>
      <c r="BB84" s="134" t="s">
        <v>732</v>
      </c>
      <c r="BC84" s="120" t="s">
        <v>86</v>
      </c>
    </row>
    <row r="85" spans="1:55" ht="14.25" customHeight="1">
      <c r="A85" t="str">
        <f>IFERROR(VLOOKUP(AV85,Nómina!B:E,4,0),"")</f>
        <v>GENESIS VALENTINA SALAZAR GUEVARA</v>
      </c>
      <c r="B85" t="str">
        <f>IFERROR(VLOOKUP(A85,Nómina!E:F,2,0),"")</f>
        <v>27828546-4</v>
      </c>
      <c r="C85" s="30">
        <f t="shared" si="18"/>
        <v>22689</v>
      </c>
      <c r="D85" t="str">
        <f t="shared" si="19"/>
        <v>2026-07-09</v>
      </c>
      <c r="E85" t="str">
        <f t="shared" si="20"/>
        <v>HOTEL</v>
      </c>
      <c r="F85" t="str">
        <f t="shared" si="21"/>
        <v>Masaje</v>
      </c>
      <c r="G85" t="str">
        <f t="shared" si="22"/>
        <v>Individual</v>
      </c>
      <c r="H85" t="str">
        <f t="shared" si="23"/>
        <v>60min</v>
      </c>
      <c r="I85" t="str">
        <f t="shared" si="24"/>
        <v>Relajante</v>
      </c>
      <c r="J85" t="str">
        <f t="shared" si="25"/>
        <v>VITACURA</v>
      </c>
      <c r="K85" t="str">
        <f t="shared" si="26"/>
        <v>Habitación por confirmar</v>
      </c>
      <c r="L85">
        <f t="shared" si="27"/>
        <v>0</v>
      </c>
      <c r="M85">
        <f t="shared" si="28"/>
        <v>0</v>
      </c>
      <c r="N85" t="str">
        <f t="shared" si="29"/>
        <v/>
      </c>
      <c r="O85" s="10" t="str">
        <f>+VLOOKUP(Z85,listas!$B:$C,2,0)</f>
        <v>HOTEL</v>
      </c>
      <c r="P85" s="11">
        <f t="shared" si="17"/>
        <v>45000</v>
      </c>
      <c r="Q85" s="11">
        <f t="shared" si="30"/>
        <v>22689</v>
      </c>
      <c r="R85" s="59">
        <f t="shared" si="31"/>
        <v>7</v>
      </c>
      <c r="S85" s="59">
        <f t="shared" si="32"/>
        <v>9</v>
      </c>
      <c r="T85" s="11">
        <f t="shared" si="33"/>
        <v>1</v>
      </c>
      <c r="U85" s="120" t="s">
        <v>80</v>
      </c>
      <c r="V85" s="120" t="s">
        <v>733</v>
      </c>
      <c r="W85" s="120" t="s">
        <v>653</v>
      </c>
      <c r="X85" s="120" t="s">
        <v>705</v>
      </c>
      <c r="Y85" s="120" t="s">
        <v>130</v>
      </c>
      <c r="Z85" s="120" t="s">
        <v>5</v>
      </c>
      <c r="AA85" s="120" t="s">
        <v>81</v>
      </c>
      <c r="AB85" s="120" t="s">
        <v>5</v>
      </c>
      <c r="AC85" s="120" t="s">
        <v>82</v>
      </c>
      <c r="AD85" s="120" t="s">
        <v>83</v>
      </c>
      <c r="AE85" s="120" t="s">
        <v>84</v>
      </c>
      <c r="AF85" s="120" t="s">
        <v>85</v>
      </c>
      <c r="AG85" s="133">
        <v>45000</v>
      </c>
      <c r="AH85" s="133">
        <v>45000</v>
      </c>
      <c r="AI85" s="133">
        <v>0</v>
      </c>
      <c r="AJ85" s="133">
        <v>0</v>
      </c>
      <c r="AK85" s="133">
        <v>27000</v>
      </c>
      <c r="AL85" s="120" t="s">
        <v>86</v>
      </c>
      <c r="AM85" s="120" t="s">
        <v>86</v>
      </c>
      <c r="AN85" s="120" t="s">
        <v>86</v>
      </c>
      <c r="AO85" s="120" t="s">
        <v>86</v>
      </c>
      <c r="AP85" s="120" t="s">
        <v>86</v>
      </c>
      <c r="AQ85" s="120" t="s">
        <v>124</v>
      </c>
      <c r="AR85" s="120" t="s">
        <v>125</v>
      </c>
      <c r="AS85" s="120" t="s">
        <v>115</v>
      </c>
      <c r="AT85" s="120" t="s">
        <v>115</v>
      </c>
      <c r="AU85" s="120" t="s">
        <v>109</v>
      </c>
      <c r="AV85" s="120" t="s">
        <v>549</v>
      </c>
      <c r="AW85" s="120" t="s">
        <v>92</v>
      </c>
      <c r="AX85" s="120" t="s">
        <v>723</v>
      </c>
      <c r="AY85" s="120">
        <v>0</v>
      </c>
      <c r="AZ85" s="120">
        <v>0</v>
      </c>
      <c r="BA85" s="120" t="s">
        <v>86</v>
      </c>
      <c r="BB85" s="134" t="s">
        <v>734</v>
      </c>
      <c r="BC85" s="120" t="s">
        <v>86</v>
      </c>
    </row>
    <row r="86" spans="1:55" ht="14.25" customHeight="1">
      <c r="A86" t="str">
        <f>IFERROR(VLOOKUP(AV86,Nómina!B:E,4,0),"")</f>
        <v>GENESIS DANIELA PIMENTEL HERRERA</v>
      </c>
      <c r="B86" t="str">
        <f>IFERROR(VLOOKUP(A86,Nómina!E:F,2,0),"")</f>
        <v>26598096-1</v>
      </c>
      <c r="C86" s="30">
        <f t="shared" si="18"/>
        <v>22689</v>
      </c>
      <c r="D86" t="str">
        <f t="shared" si="19"/>
        <v>2026-07-09</v>
      </c>
      <c r="E86" t="str">
        <f t="shared" si="20"/>
        <v>HOTEL</v>
      </c>
      <c r="F86" t="str">
        <f t="shared" si="21"/>
        <v>Masaje</v>
      </c>
      <c r="G86" t="str">
        <f t="shared" si="22"/>
        <v>Individual</v>
      </c>
      <c r="H86" t="str">
        <f t="shared" si="23"/>
        <v>60min</v>
      </c>
      <c r="I86" t="str">
        <f t="shared" si="24"/>
        <v>Relajante</v>
      </c>
      <c r="J86" t="str">
        <f t="shared" si="25"/>
        <v>VITACURA</v>
      </c>
      <c r="K86" t="str">
        <f t="shared" si="26"/>
        <v>Habitación por confirmar</v>
      </c>
      <c r="L86">
        <f t="shared" si="27"/>
        <v>0</v>
      </c>
      <c r="M86">
        <f t="shared" si="28"/>
        <v>0</v>
      </c>
      <c r="N86" t="str">
        <f t="shared" si="29"/>
        <v/>
      </c>
      <c r="O86" s="10" t="str">
        <f>+VLOOKUP(Z86,listas!$B:$C,2,0)</f>
        <v>HOTEL</v>
      </c>
      <c r="P86" s="11">
        <f t="shared" si="17"/>
        <v>45000</v>
      </c>
      <c r="Q86" s="11">
        <f t="shared" si="30"/>
        <v>22689</v>
      </c>
      <c r="R86" s="59">
        <f t="shared" si="31"/>
        <v>7</v>
      </c>
      <c r="S86" s="59">
        <f t="shared" si="32"/>
        <v>9</v>
      </c>
      <c r="T86" s="11">
        <f t="shared" si="33"/>
        <v>1</v>
      </c>
      <c r="U86" s="120" t="s">
        <v>80</v>
      </c>
      <c r="V86" s="120" t="s">
        <v>735</v>
      </c>
      <c r="W86" s="120" t="s">
        <v>653</v>
      </c>
      <c r="X86" s="120" t="s">
        <v>705</v>
      </c>
      <c r="Y86" s="120" t="s">
        <v>130</v>
      </c>
      <c r="Z86" s="120" t="s">
        <v>5</v>
      </c>
      <c r="AA86" s="120" t="s">
        <v>81</v>
      </c>
      <c r="AB86" s="120" t="s">
        <v>5</v>
      </c>
      <c r="AC86" s="120" t="s">
        <v>82</v>
      </c>
      <c r="AD86" s="120" t="s">
        <v>83</v>
      </c>
      <c r="AE86" s="120" t="s">
        <v>84</v>
      </c>
      <c r="AF86" s="120" t="s">
        <v>85</v>
      </c>
      <c r="AG86" s="133">
        <v>45000</v>
      </c>
      <c r="AH86" s="133">
        <v>45000</v>
      </c>
      <c r="AI86" s="133">
        <v>0</v>
      </c>
      <c r="AJ86" s="133">
        <v>0</v>
      </c>
      <c r="AK86" s="133">
        <v>27000</v>
      </c>
      <c r="AL86" s="120" t="s">
        <v>86</v>
      </c>
      <c r="AM86" s="120" t="s">
        <v>86</v>
      </c>
      <c r="AN86" s="120" t="s">
        <v>86</v>
      </c>
      <c r="AO86" s="120" t="s">
        <v>86</v>
      </c>
      <c r="AP86" s="120" t="s">
        <v>86</v>
      </c>
      <c r="AQ86" s="120" t="s">
        <v>124</v>
      </c>
      <c r="AR86" s="120" t="s">
        <v>125</v>
      </c>
      <c r="AS86" s="120" t="s">
        <v>115</v>
      </c>
      <c r="AT86" s="120" t="s">
        <v>115</v>
      </c>
      <c r="AU86" s="120" t="s">
        <v>141</v>
      </c>
      <c r="AV86" s="120" t="s">
        <v>552</v>
      </c>
      <c r="AW86" s="120" t="s">
        <v>92</v>
      </c>
      <c r="AX86" s="120" t="s">
        <v>723</v>
      </c>
      <c r="AY86" s="120">
        <v>0</v>
      </c>
      <c r="AZ86" s="120">
        <v>0</v>
      </c>
      <c r="BA86" s="120" t="s">
        <v>86</v>
      </c>
      <c r="BB86" s="134" t="s">
        <v>736</v>
      </c>
      <c r="BC86" s="120" t="s">
        <v>86</v>
      </c>
    </row>
    <row r="87" spans="1:55" ht="14.25" customHeight="1">
      <c r="A87" t="str">
        <f>IFERROR(VLOOKUP(AV87,Nómina!B:E,4,0),"")</f>
        <v>ALEJANDRA PAZ SANCHEZ LENERO</v>
      </c>
      <c r="B87" t="str">
        <f>IFERROR(VLOOKUP(A87,Nómina!E:F,2,0),"")</f>
        <v>13715658-K</v>
      </c>
      <c r="C87" s="30">
        <f t="shared" si="18"/>
        <v>22689</v>
      </c>
      <c r="D87" t="str">
        <f t="shared" si="19"/>
        <v>2026-07-09</v>
      </c>
      <c r="E87" t="str">
        <f t="shared" si="20"/>
        <v>HOTEL</v>
      </c>
      <c r="F87" t="str">
        <f t="shared" si="21"/>
        <v>Masaje</v>
      </c>
      <c r="G87" t="str">
        <f t="shared" si="22"/>
        <v>Individual</v>
      </c>
      <c r="H87" t="str">
        <f t="shared" si="23"/>
        <v>60min</v>
      </c>
      <c r="I87" t="str">
        <f t="shared" si="24"/>
        <v>Relajante</v>
      </c>
      <c r="J87" t="str">
        <f t="shared" si="25"/>
        <v>VITACURA</v>
      </c>
      <c r="K87" t="str">
        <f t="shared" si="26"/>
        <v>Habitación por confirmar</v>
      </c>
      <c r="L87">
        <f t="shared" si="27"/>
        <v>0</v>
      </c>
      <c r="M87">
        <f t="shared" si="28"/>
        <v>0</v>
      </c>
      <c r="N87" t="str">
        <f t="shared" si="29"/>
        <v/>
      </c>
      <c r="O87" s="10" t="str">
        <f>+VLOOKUP(Z87,listas!$B:$C,2,0)</f>
        <v>HOTEL</v>
      </c>
      <c r="P87" s="11">
        <f t="shared" si="17"/>
        <v>45000</v>
      </c>
      <c r="Q87" s="11">
        <f t="shared" si="30"/>
        <v>22689</v>
      </c>
      <c r="R87" s="59">
        <f t="shared" si="31"/>
        <v>7</v>
      </c>
      <c r="S87" s="59">
        <f t="shared" si="32"/>
        <v>9</v>
      </c>
      <c r="T87" s="11">
        <f t="shared" si="33"/>
        <v>1</v>
      </c>
      <c r="U87" s="120" t="s">
        <v>80</v>
      </c>
      <c r="V87" s="120" t="s">
        <v>737</v>
      </c>
      <c r="W87" s="120" t="s">
        <v>653</v>
      </c>
      <c r="X87" s="120" t="s">
        <v>705</v>
      </c>
      <c r="Y87" s="120" t="s">
        <v>130</v>
      </c>
      <c r="Z87" s="120" t="s">
        <v>5</v>
      </c>
      <c r="AA87" s="120" t="s">
        <v>81</v>
      </c>
      <c r="AB87" s="120" t="s">
        <v>5</v>
      </c>
      <c r="AC87" s="120" t="s">
        <v>82</v>
      </c>
      <c r="AD87" s="120" t="s">
        <v>83</v>
      </c>
      <c r="AE87" s="120" t="s">
        <v>84</v>
      </c>
      <c r="AF87" s="120" t="s">
        <v>85</v>
      </c>
      <c r="AG87" s="133">
        <v>45000</v>
      </c>
      <c r="AH87" s="133">
        <v>45000</v>
      </c>
      <c r="AI87" s="133">
        <v>0</v>
      </c>
      <c r="AJ87" s="133">
        <v>0</v>
      </c>
      <c r="AK87" s="133">
        <v>27000</v>
      </c>
      <c r="AL87" s="120" t="s">
        <v>86</v>
      </c>
      <c r="AM87" s="120" t="s">
        <v>86</v>
      </c>
      <c r="AN87" s="120" t="s">
        <v>86</v>
      </c>
      <c r="AO87" s="120" t="s">
        <v>86</v>
      </c>
      <c r="AP87" s="120" t="s">
        <v>86</v>
      </c>
      <c r="AQ87" s="120" t="s">
        <v>124</v>
      </c>
      <c r="AR87" s="120" t="s">
        <v>125</v>
      </c>
      <c r="AS87" s="120" t="s">
        <v>115</v>
      </c>
      <c r="AT87" s="120" t="s">
        <v>115</v>
      </c>
      <c r="AU87" s="120" t="s">
        <v>154</v>
      </c>
      <c r="AV87" s="120" t="s">
        <v>511</v>
      </c>
      <c r="AW87" s="120" t="s">
        <v>92</v>
      </c>
      <c r="AX87" s="120" t="s">
        <v>723</v>
      </c>
      <c r="AY87" s="120">
        <v>0</v>
      </c>
      <c r="AZ87" s="120">
        <v>0</v>
      </c>
      <c r="BA87" s="120" t="s">
        <v>86</v>
      </c>
      <c r="BB87" s="134" t="s">
        <v>738</v>
      </c>
      <c r="BC87" s="120" t="s">
        <v>86</v>
      </c>
    </row>
    <row r="88" spans="1:55" ht="14.25" customHeight="1">
      <c r="A88" t="str">
        <f>IFERROR(VLOOKUP(AV88,Nómina!B:E,4,0),"")</f>
        <v>MARIA MAGDALENA CASTRO MORGADO</v>
      </c>
      <c r="B88" t="str">
        <f>IFERROR(VLOOKUP(A88,Nómina!E:F,2,0),"")</f>
        <v>13335240-6</v>
      </c>
      <c r="C88" s="30">
        <f t="shared" si="18"/>
        <v>22689</v>
      </c>
      <c r="D88" t="str">
        <f t="shared" si="19"/>
        <v>2026-07-09</v>
      </c>
      <c r="E88" t="str">
        <f t="shared" si="20"/>
        <v>HOTEL</v>
      </c>
      <c r="F88" t="str">
        <f t="shared" si="21"/>
        <v>Masaje</v>
      </c>
      <c r="G88" t="str">
        <f t="shared" si="22"/>
        <v>Individual</v>
      </c>
      <c r="H88" t="str">
        <f t="shared" si="23"/>
        <v>60min</v>
      </c>
      <c r="I88" t="str">
        <f t="shared" si="24"/>
        <v>Relajante</v>
      </c>
      <c r="J88" t="str">
        <f t="shared" si="25"/>
        <v>VITACURA</v>
      </c>
      <c r="K88" t="str">
        <f t="shared" si="26"/>
        <v>Habitación por confirmar</v>
      </c>
      <c r="L88">
        <f t="shared" si="27"/>
        <v>0</v>
      </c>
      <c r="M88">
        <f t="shared" si="28"/>
        <v>0</v>
      </c>
      <c r="N88" t="str">
        <f t="shared" si="29"/>
        <v/>
      </c>
      <c r="O88" s="10" t="str">
        <f>+VLOOKUP(Z88,listas!$B:$C,2,0)</f>
        <v>HOTEL</v>
      </c>
      <c r="P88" s="11">
        <f t="shared" si="17"/>
        <v>45000</v>
      </c>
      <c r="Q88" s="11">
        <f t="shared" si="30"/>
        <v>22689</v>
      </c>
      <c r="R88" s="59">
        <f t="shared" si="31"/>
        <v>7</v>
      </c>
      <c r="S88" s="59">
        <f t="shared" si="32"/>
        <v>9</v>
      </c>
      <c r="T88" s="11">
        <f t="shared" si="33"/>
        <v>1</v>
      </c>
      <c r="U88" s="120" t="s">
        <v>80</v>
      </c>
      <c r="V88" s="120" t="s">
        <v>739</v>
      </c>
      <c r="W88" s="120" t="s">
        <v>653</v>
      </c>
      <c r="X88" s="120" t="s">
        <v>705</v>
      </c>
      <c r="Y88" s="120" t="s">
        <v>130</v>
      </c>
      <c r="Z88" s="120" t="s">
        <v>5</v>
      </c>
      <c r="AA88" s="120" t="s">
        <v>81</v>
      </c>
      <c r="AB88" s="120" t="s">
        <v>5</v>
      </c>
      <c r="AC88" s="120" t="s">
        <v>82</v>
      </c>
      <c r="AD88" s="120" t="s">
        <v>83</v>
      </c>
      <c r="AE88" s="120" t="s">
        <v>84</v>
      </c>
      <c r="AF88" s="120" t="s">
        <v>85</v>
      </c>
      <c r="AG88" s="133">
        <v>45000</v>
      </c>
      <c r="AH88" s="133">
        <v>45000</v>
      </c>
      <c r="AI88" s="133">
        <v>0</v>
      </c>
      <c r="AJ88" s="133">
        <v>0</v>
      </c>
      <c r="AK88" s="133">
        <v>27000</v>
      </c>
      <c r="AL88" s="120" t="s">
        <v>86</v>
      </c>
      <c r="AM88" s="120" t="s">
        <v>86</v>
      </c>
      <c r="AN88" s="120" t="s">
        <v>86</v>
      </c>
      <c r="AO88" s="120" t="s">
        <v>86</v>
      </c>
      <c r="AP88" s="120" t="s">
        <v>86</v>
      </c>
      <c r="AQ88" s="120" t="s">
        <v>124</v>
      </c>
      <c r="AR88" s="120" t="s">
        <v>125</v>
      </c>
      <c r="AS88" s="120" t="s">
        <v>115</v>
      </c>
      <c r="AT88" s="120" t="s">
        <v>115</v>
      </c>
      <c r="AU88" s="120" t="s">
        <v>102</v>
      </c>
      <c r="AV88" s="120" t="s">
        <v>17</v>
      </c>
      <c r="AW88" s="120" t="s">
        <v>92</v>
      </c>
      <c r="AX88" s="120" t="s">
        <v>723</v>
      </c>
      <c r="AY88" s="120">
        <v>0</v>
      </c>
      <c r="AZ88" s="120">
        <v>0</v>
      </c>
      <c r="BA88" s="120" t="s">
        <v>86</v>
      </c>
      <c r="BB88" s="134" t="s">
        <v>740</v>
      </c>
      <c r="BC88" s="120" t="s">
        <v>86</v>
      </c>
    </row>
    <row r="89" spans="1:55" ht="14.25" customHeight="1">
      <c r="A89" t="str">
        <f>IFERROR(VLOOKUP(AV89,Nómina!B:E,4,0),"")</f>
        <v>WILLESKA ORTEGA JUSTO</v>
      </c>
      <c r="B89" t="str">
        <f>IFERROR(VLOOKUP(A89,Nómina!E:F,2,0),"")</f>
        <v>25310926-2</v>
      </c>
      <c r="C89" s="30">
        <f t="shared" si="18"/>
        <v>31765</v>
      </c>
      <c r="D89" t="str">
        <f t="shared" si="19"/>
        <v>2026-07-09</v>
      </c>
      <c r="E89" t="str">
        <f t="shared" si="20"/>
        <v>HOTEL</v>
      </c>
      <c r="F89" t="str">
        <f t="shared" si="21"/>
        <v>Masaje</v>
      </c>
      <c r="G89" t="str">
        <f t="shared" si="22"/>
        <v>Individual</v>
      </c>
      <c r="H89" t="str">
        <f t="shared" si="23"/>
        <v>90min</v>
      </c>
      <c r="I89" t="str">
        <f t="shared" si="24"/>
        <v>Tejido profundo</v>
      </c>
      <c r="J89" t="str">
        <f t="shared" si="25"/>
        <v>LAS CONDES</v>
      </c>
      <c r="K89" t="str">
        <f t="shared" si="26"/>
        <v>Nombre huésped: Sungbok Kwak
Número de habitación: 404</v>
      </c>
      <c r="L89">
        <f t="shared" si="27"/>
        <v>0</v>
      </c>
      <c r="M89">
        <f t="shared" si="28"/>
        <v>0</v>
      </c>
      <c r="N89" t="str">
        <f t="shared" si="29"/>
        <v/>
      </c>
      <c r="O89" s="10" t="str">
        <f>+VLOOKUP(Z89,listas!$B:$C,2,0)</f>
        <v>HOTEL</v>
      </c>
      <c r="P89" s="11">
        <f t="shared" si="17"/>
        <v>63000</v>
      </c>
      <c r="Q89" s="11">
        <f t="shared" si="30"/>
        <v>31765</v>
      </c>
      <c r="R89" s="59">
        <f t="shared" si="31"/>
        <v>7</v>
      </c>
      <c r="S89" s="59">
        <f t="shared" si="32"/>
        <v>9</v>
      </c>
      <c r="T89" s="11">
        <f t="shared" si="33"/>
        <v>1</v>
      </c>
      <c r="U89" s="120" t="s">
        <v>80</v>
      </c>
      <c r="V89" s="120" t="s">
        <v>741</v>
      </c>
      <c r="W89" s="120" t="s">
        <v>679</v>
      </c>
      <c r="X89" s="120" t="s">
        <v>705</v>
      </c>
      <c r="Y89" s="120" t="s">
        <v>130</v>
      </c>
      <c r="Z89" s="120" t="s">
        <v>5</v>
      </c>
      <c r="AA89" s="120" t="s">
        <v>81</v>
      </c>
      <c r="AB89" s="120" t="s">
        <v>5</v>
      </c>
      <c r="AC89" s="120" t="s">
        <v>82</v>
      </c>
      <c r="AD89" s="120" t="s">
        <v>83</v>
      </c>
      <c r="AE89" s="120" t="s">
        <v>146</v>
      </c>
      <c r="AF89" s="120" t="s">
        <v>123</v>
      </c>
      <c r="AG89" s="133">
        <v>63000</v>
      </c>
      <c r="AH89" s="133">
        <v>63000</v>
      </c>
      <c r="AI89" s="133">
        <v>0</v>
      </c>
      <c r="AJ89" s="133">
        <v>0</v>
      </c>
      <c r="AK89" s="133">
        <v>37800</v>
      </c>
      <c r="AL89" s="120" t="s">
        <v>86</v>
      </c>
      <c r="AM89" s="120" t="s">
        <v>86</v>
      </c>
      <c r="AN89" s="120" t="s">
        <v>86</v>
      </c>
      <c r="AO89" s="120" t="s">
        <v>86</v>
      </c>
      <c r="AP89" s="120" t="s">
        <v>86</v>
      </c>
      <c r="AQ89" s="120" t="s">
        <v>87</v>
      </c>
      <c r="AR89" s="120" t="s">
        <v>88</v>
      </c>
      <c r="AS89" s="120" t="s">
        <v>89</v>
      </c>
      <c r="AT89" s="120" t="s">
        <v>89</v>
      </c>
      <c r="AU89" s="120" t="s">
        <v>116</v>
      </c>
      <c r="AV89" s="120" t="s">
        <v>21</v>
      </c>
      <c r="AW89" s="120" t="s">
        <v>92</v>
      </c>
      <c r="AX89" s="120" t="s">
        <v>742</v>
      </c>
      <c r="AY89" s="120">
        <v>0</v>
      </c>
      <c r="AZ89" s="120">
        <v>0</v>
      </c>
      <c r="BA89" s="120" t="s">
        <v>86</v>
      </c>
      <c r="BB89" s="134" t="s">
        <v>743</v>
      </c>
      <c r="BC89" s="120" t="s">
        <v>86</v>
      </c>
    </row>
    <row r="90" spans="1:55" ht="14.25" customHeight="1">
      <c r="A90" t="str">
        <f>IFERROR(VLOOKUP(AV90,Nómina!B:E,4,0),"")</f>
        <v>XIMENA ESTEFANIA PASTEN PINO  </v>
      </c>
      <c r="B90" t="str">
        <f>IFERROR(VLOOKUP(A90,Nómina!E:F,2,0),"")</f>
        <v>17707188-9</v>
      </c>
      <c r="C90" s="30">
        <f t="shared" si="18"/>
        <v>22689</v>
      </c>
      <c r="D90" t="str">
        <f t="shared" si="19"/>
        <v>2026-07-09</v>
      </c>
      <c r="E90" t="str">
        <f t="shared" si="20"/>
        <v>HOTEL</v>
      </c>
      <c r="F90" t="str">
        <f t="shared" si="21"/>
        <v>Masaje</v>
      </c>
      <c r="G90" t="str">
        <f t="shared" si="22"/>
        <v>Individual</v>
      </c>
      <c r="H90" t="str">
        <f t="shared" si="23"/>
        <v>60min</v>
      </c>
      <c r="I90" t="str">
        <f t="shared" si="24"/>
        <v>Tejido profundo</v>
      </c>
      <c r="J90" t="str">
        <f t="shared" si="25"/>
        <v>LAS CONDES</v>
      </c>
      <c r="K90" t="str">
        <f t="shared" si="26"/>
        <v>Huésped: Alejandra Lazo. Hab: 720. Solicita: Paulina Sepúlveda.</v>
      </c>
      <c r="L90">
        <f t="shared" si="27"/>
        <v>0</v>
      </c>
      <c r="M90">
        <f t="shared" si="28"/>
        <v>0</v>
      </c>
      <c r="N90" t="str">
        <f t="shared" si="29"/>
        <v/>
      </c>
      <c r="O90" s="10" t="str">
        <f>+VLOOKUP(Z90,listas!$B:$C,2,0)</f>
        <v>HOTEL</v>
      </c>
      <c r="P90" s="11">
        <f t="shared" si="17"/>
        <v>45000</v>
      </c>
      <c r="Q90" s="11">
        <f t="shared" si="30"/>
        <v>22689</v>
      </c>
      <c r="R90" s="59">
        <f t="shared" si="31"/>
        <v>7</v>
      </c>
      <c r="S90" s="59">
        <f t="shared" si="32"/>
        <v>9</v>
      </c>
      <c r="T90" s="11">
        <f t="shared" si="33"/>
        <v>1</v>
      </c>
      <c r="U90" s="120" t="s">
        <v>80</v>
      </c>
      <c r="V90" s="120" t="s">
        <v>744</v>
      </c>
      <c r="W90" s="120" t="s">
        <v>705</v>
      </c>
      <c r="X90" s="120" t="s">
        <v>705</v>
      </c>
      <c r="Y90" s="120" t="s">
        <v>130</v>
      </c>
      <c r="Z90" s="120" t="s">
        <v>5</v>
      </c>
      <c r="AA90" s="120" t="s">
        <v>81</v>
      </c>
      <c r="AB90" s="120" t="s">
        <v>5</v>
      </c>
      <c r="AC90" s="120" t="s">
        <v>82</v>
      </c>
      <c r="AD90" s="120" t="s">
        <v>83</v>
      </c>
      <c r="AE90" s="120" t="s">
        <v>84</v>
      </c>
      <c r="AF90" s="120" t="s">
        <v>123</v>
      </c>
      <c r="AG90" s="133">
        <v>45000</v>
      </c>
      <c r="AH90" s="133">
        <v>45000</v>
      </c>
      <c r="AI90" s="133">
        <v>0</v>
      </c>
      <c r="AJ90" s="133">
        <v>0</v>
      </c>
      <c r="AK90" s="133">
        <v>27000</v>
      </c>
      <c r="AL90" s="120" t="s">
        <v>86</v>
      </c>
      <c r="AM90" s="120" t="s">
        <v>86</v>
      </c>
      <c r="AN90" s="120" t="s">
        <v>86</v>
      </c>
      <c r="AO90" s="120" t="s">
        <v>86</v>
      </c>
      <c r="AP90" s="120" t="s">
        <v>86</v>
      </c>
      <c r="AQ90" s="120" t="s">
        <v>87</v>
      </c>
      <c r="AR90" s="120" t="s">
        <v>88</v>
      </c>
      <c r="AS90" s="120" t="s">
        <v>89</v>
      </c>
      <c r="AT90" s="120" t="s">
        <v>89</v>
      </c>
      <c r="AU90" s="120" t="s">
        <v>283</v>
      </c>
      <c r="AV90" s="120" t="s">
        <v>28</v>
      </c>
      <c r="AW90" s="120" t="s">
        <v>92</v>
      </c>
      <c r="AX90" s="120" t="s">
        <v>745</v>
      </c>
      <c r="AY90" s="120">
        <v>0</v>
      </c>
      <c r="AZ90" s="120">
        <v>0</v>
      </c>
      <c r="BA90" s="120" t="s">
        <v>86</v>
      </c>
      <c r="BB90" s="134" t="s">
        <v>746</v>
      </c>
      <c r="BC90" s="120" t="s">
        <v>86</v>
      </c>
    </row>
    <row r="91" spans="1:55" ht="14.25" customHeight="1">
      <c r="A91" t="str">
        <f>IFERROR(VLOOKUP(AV91,Nómina!B:E,4,0),"")</f>
        <v>PAMELA VERONICA CID NAVIA  </v>
      </c>
      <c r="B91" t="str">
        <f>IFERROR(VLOOKUP(A91,Nómina!E:F,2,0),"")</f>
        <v>8008360-2</v>
      </c>
      <c r="C91" s="30">
        <f t="shared" si="18"/>
        <v>22689</v>
      </c>
      <c r="D91" t="str">
        <f t="shared" si="19"/>
        <v>2026-07-09</v>
      </c>
      <c r="E91" t="str">
        <f t="shared" si="20"/>
        <v>B2C</v>
      </c>
      <c r="F91" t="str">
        <f t="shared" si="21"/>
        <v>Masaje</v>
      </c>
      <c r="G91" t="str">
        <f t="shared" si="22"/>
        <v>Individual</v>
      </c>
      <c r="H91" t="str">
        <f t="shared" si="23"/>
        <v>60min</v>
      </c>
      <c r="I91" t="str">
        <f t="shared" si="24"/>
        <v>Relajante</v>
      </c>
      <c r="J91" t="str">
        <f t="shared" si="25"/>
        <v>CERRILLOS</v>
      </c>
      <c r="K91" t="str">
        <f t="shared" si="26"/>
        <v>Ninguno</v>
      </c>
      <c r="L91">
        <f t="shared" si="27"/>
        <v>0</v>
      </c>
      <c r="M91">
        <f t="shared" si="28"/>
        <v>0</v>
      </c>
      <c r="N91" t="str">
        <f t="shared" si="29"/>
        <v/>
      </c>
      <c r="O91" s="10" t="str">
        <f>+VLOOKUP(Z91,listas!$B:$C,2,0)</f>
        <v>B2C</v>
      </c>
      <c r="P91" s="11">
        <f t="shared" si="17"/>
        <v>45000</v>
      </c>
      <c r="Q91" s="11">
        <f t="shared" si="30"/>
        <v>22689</v>
      </c>
      <c r="R91" s="59">
        <f t="shared" si="31"/>
        <v>7</v>
      </c>
      <c r="S91" s="59">
        <f t="shared" si="32"/>
        <v>9</v>
      </c>
      <c r="T91" s="11">
        <f t="shared" si="33"/>
        <v>1</v>
      </c>
      <c r="U91" s="120" t="s">
        <v>80</v>
      </c>
      <c r="V91" s="120" t="s">
        <v>747</v>
      </c>
      <c r="W91" s="120" t="s">
        <v>705</v>
      </c>
      <c r="X91" s="120" t="s">
        <v>705</v>
      </c>
      <c r="Y91" s="120" t="s">
        <v>114</v>
      </c>
      <c r="Z91" s="120" t="s">
        <v>98</v>
      </c>
      <c r="AA91" s="120" t="s">
        <v>81</v>
      </c>
      <c r="AB91" s="120" t="s">
        <v>4</v>
      </c>
      <c r="AC91" s="120" t="s">
        <v>82</v>
      </c>
      <c r="AD91" s="120" t="s">
        <v>83</v>
      </c>
      <c r="AE91" s="120" t="s">
        <v>84</v>
      </c>
      <c r="AF91" s="120" t="s">
        <v>85</v>
      </c>
      <c r="AG91" s="133">
        <v>45000</v>
      </c>
      <c r="AH91" s="133">
        <v>45000</v>
      </c>
      <c r="AI91" s="133">
        <v>0</v>
      </c>
      <c r="AJ91" s="133">
        <v>0</v>
      </c>
      <c r="AK91" s="133">
        <v>27000</v>
      </c>
      <c r="AL91" s="120" t="s">
        <v>86</v>
      </c>
      <c r="AM91" s="120" t="s">
        <v>86</v>
      </c>
      <c r="AN91" s="120" t="s">
        <v>86</v>
      </c>
      <c r="AO91" s="120" t="s">
        <v>86</v>
      </c>
      <c r="AP91" s="120" t="s">
        <v>86</v>
      </c>
      <c r="AQ91" s="120" t="s">
        <v>748</v>
      </c>
      <c r="AR91" s="120" t="s">
        <v>749</v>
      </c>
      <c r="AS91" s="120" t="s">
        <v>708</v>
      </c>
      <c r="AT91" s="120" t="s">
        <v>708</v>
      </c>
      <c r="AU91" s="120" t="s">
        <v>144</v>
      </c>
      <c r="AV91" s="120" t="s">
        <v>19</v>
      </c>
      <c r="AW91" s="120" t="s">
        <v>92</v>
      </c>
      <c r="AX91" s="120" t="s">
        <v>103</v>
      </c>
      <c r="AY91" s="120">
        <v>0</v>
      </c>
      <c r="AZ91" s="120">
        <v>0</v>
      </c>
      <c r="BA91" s="120" t="s">
        <v>86</v>
      </c>
      <c r="BB91" s="134" t="s">
        <v>750</v>
      </c>
      <c r="BC91" s="120" t="s">
        <v>86</v>
      </c>
    </row>
    <row r="92" spans="1:55" ht="14.25" customHeight="1">
      <c r="A92" t="str">
        <f>IFERROR(VLOOKUP(AV92,Nómina!B:E,4,0),"")</f>
        <v>PAMELA VERONICA CID NAVIA  </v>
      </c>
      <c r="B92" t="str">
        <f>IFERROR(VLOOKUP(A92,Nómina!E:F,2,0),"")</f>
        <v>8008360-2</v>
      </c>
      <c r="C92" s="30">
        <f t="shared" si="18"/>
        <v>5042</v>
      </c>
      <c r="D92" t="str">
        <f t="shared" si="19"/>
        <v>2026-07-09</v>
      </c>
      <c r="E92" t="str">
        <f t="shared" si="20"/>
        <v>B2C</v>
      </c>
      <c r="F92" t="str">
        <f t="shared" si="21"/>
        <v>Addon</v>
      </c>
      <c r="G92" t="str">
        <f t="shared" si="22"/>
        <v>Individual</v>
      </c>
      <c r="H92" t="str">
        <f t="shared" si="23"/>
        <v>15min</v>
      </c>
      <c r="I92" t="str">
        <f t="shared" si="24"/>
        <v>Craneofacial</v>
      </c>
      <c r="J92" t="str">
        <f t="shared" si="25"/>
        <v>CERRILLOS</v>
      </c>
      <c r="K92" t="str">
        <f t="shared" si="26"/>
        <v>Ninguno</v>
      </c>
      <c r="L92">
        <f t="shared" si="27"/>
        <v>0</v>
      </c>
      <c r="M92">
        <f t="shared" si="28"/>
        <v>0</v>
      </c>
      <c r="N92" t="str">
        <f t="shared" si="29"/>
        <v/>
      </c>
      <c r="O92" s="10" t="str">
        <f>+VLOOKUP(Z92,listas!$B:$C,2,0)</f>
        <v>B2C</v>
      </c>
      <c r="P92" s="11">
        <f t="shared" si="17"/>
        <v>10000</v>
      </c>
      <c r="Q92" s="11">
        <f t="shared" si="30"/>
        <v>5042</v>
      </c>
      <c r="R92" s="59">
        <f t="shared" si="31"/>
        <v>7</v>
      </c>
      <c r="S92" s="59">
        <f t="shared" si="32"/>
        <v>9</v>
      </c>
      <c r="T92" s="11">
        <f t="shared" si="33"/>
        <v>1</v>
      </c>
      <c r="U92" s="135" t="s">
        <v>80</v>
      </c>
      <c r="V92" s="135" t="s">
        <v>747</v>
      </c>
      <c r="W92" s="135" t="s">
        <v>705</v>
      </c>
      <c r="X92" s="135" t="s">
        <v>705</v>
      </c>
      <c r="Y92" s="135" t="s">
        <v>114</v>
      </c>
      <c r="Z92" s="135" t="s">
        <v>98</v>
      </c>
      <c r="AA92" s="135" t="s">
        <v>81</v>
      </c>
      <c r="AB92" s="135" t="s">
        <v>4</v>
      </c>
      <c r="AC92" s="135" t="s">
        <v>93</v>
      </c>
      <c r="AD92" s="135" t="s">
        <v>83</v>
      </c>
      <c r="AE92" s="135" t="s">
        <v>94</v>
      </c>
      <c r="AF92" s="135" t="s">
        <v>96</v>
      </c>
      <c r="AG92" s="136">
        <v>10000</v>
      </c>
      <c r="AH92" s="136">
        <v>10000</v>
      </c>
      <c r="AI92" s="136">
        <v>0</v>
      </c>
      <c r="AJ92" s="136">
        <v>0</v>
      </c>
      <c r="AK92" s="136">
        <v>6000</v>
      </c>
      <c r="AL92" s="135" t="s">
        <v>86</v>
      </c>
      <c r="AM92" s="135" t="s">
        <v>86</v>
      </c>
      <c r="AN92" s="135" t="s">
        <v>86</v>
      </c>
      <c r="AO92" s="135" t="s">
        <v>86</v>
      </c>
      <c r="AP92" s="135" t="s">
        <v>86</v>
      </c>
      <c r="AQ92" s="135" t="s">
        <v>748</v>
      </c>
      <c r="AR92" s="135" t="s">
        <v>749</v>
      </c>
      <c r="AS92" s="135" t="s">
        <v>708</v>
      </c>
      <c r="AT92" s="135" t="s">
        <v>708</v>
      </c>
      <c r="AU92" s="135" t="s">
        <v>144</v>
      </c>
      <c r="AV92" s="135" t="s">
        <v>19</v>
      </c>
      <c r="AW92" s="135" t="s">
        <v>92</v>
      </c>
      <c r="AX92" s="135" t="s">
        <v>103</v>
      </c>
      <c r="AY92" s="135">
        <v>0</v>
      </c>
      <c r="AZ92" s="135">
        <v>0</v>
      </c>
      <c r="BA92" s="135" t="s">
        <v>86</v>
      </c>
      <c r="BB92" s="137" t="s">
        <v>750</v>
      </c>
      <c r="BC92" s="135" t="s">
        <v>86</v>
      </c>
    </row>
    <row r="93" spans="1:55" ht="14.25" customHeight="1">
      <c r="A93" t="str">
        <f>IFERROR(VLOOKUP(AV93,Nómina!B:E,4,0),"")</f>
        <v>SERGIO RODRÍGUEZ</v>
      </c>
      <c r="B93" t="str">
        <f>IFERROR(VLOOKUP(A93,Nómina!E:F,2,0),"")</f>
        <v>27988098-6</v>
      </c>
      <c r="C93" s="30">
        <f t="shared" si="18"/>
        <v>22689</v>
      </c>
      <c r="D93" t="str">
        <f t="shared" si="19"/>
        <v>2026-07-10</v>
      </c>
      <c r="E93" t="str">
        <f t="shared" si="20"/>
        <v>CERTIFICADO B2C</v>
      </c>
      <c r="F93" t="str">
        <f t="shared" si="21"/>
        <v>Masaje</v>
      </c>
      <c r="G93" t="str">
        <f t="shared" si="22"/>
        <v>Individual</v>
      </c>
      <c r="H93" t="str">
        <f t="shared" si="23"/>
        <v>60min</v>
      </c>
      <c r="I93" t="str">
        <f t="shared" si="24"/>
        <v>Relajante</v>
      </c>
      <c r="J93" t="str">
        <f t="shared" si="25"/>
        <v>CERRILLOS</v>
      </c>
      <c r="K93" t="str">
        <f t="shared" si="26"/>
        <v>Ninguno</v>
      </c>
      <c r="L93">
        <f t="shared" si="27"/>
        <v>0</v>
      </c>
      <c r="M93">
        <f t="shared" si="28"/>
        <v>0</v>
      </c>
      <c r="N93" t="str">
        <f t="shared" si="29"/>
        <v/>
      </c>
      <c r="O93" s="10" t="str">
        <f>+VLOOKUP(Z93,listas!$B:$C,2,0)</f>
        <v>CERTIFICADO B2C</v>
      </c>
      <c r="P93" s="11">
        <f t="shared" si="17"/>
        <v>45000</v>
      </c>
      <c r="Q93" s="11">
        <f t="shared" si="30"/>
        <v>22689</v>
      </c>
      <c r="R93" s="59">
        <f t="shared" si="31"/>
        <v>7</v>
      </c>
      <c r="S93" s="59">
        <f t="shared" si="32"/>
        <v>10</v>
      </c>
      <c r="T93" s="11">
        <f t="shared" si="33"/>
        <v>1</v>
      </c>
      <c r="U93" s="120" t="s">
        <v>80</v>
      </c>
      <c r="V93" s="120" t="s">
        <v>751</v>
      </c>
      <c r="W93" s="120" t="s">
        <v>670</v>
      </c>
      <c r="X93" s="120" t="s">
        <v>752</v>
      </c>
      <c r="Y93" s="120" t="s">
        <v>155</v>
      </c>
      <c r="Z93" s="120" t="s">
        <v>170</v>
      </c>
      <c r="AA93" s="120" t="s">
        <v>81</v>
      </c>
      <c r="AB93" s="120" t="s">
        <v>4</v>
      </c>
      <c r="AC93" s="120" t="s">
        <v>82</v>
      </c>
      <c r="AD93" s="120" t="s">
        <v>83</v>
      </c>
      <c r="AE93" s="120" t="s">
        <v>84</v>
      </c>
      <c r="AF93" s="120" t="s">
        <v>85</v>
      </c>
      <c r="AG93" s="133">
        <v>45000</v>
      </c>
      <c r="AH93" s="133">
        <v>0</v>
      </c>
      <c r="AI93" s="133">
        <v>45000</v>
      </c>
      <c r="AJ93" s="133">
        <v>0</v>
      </c>
      <c r="AK93" s="133">
        <v>27000</v>
      </c>
      <c r="AL93" s="120" t="s">
        <v>86</v>
      </c>
      <c r="AM93" s="120" t="s">
        <v>753</v>
      </c>
      <c r="AN93" s="120" t="s">
        <v>86</v>
      </c>
      <c r="AO93" s="120" t="s">
        <v>86</v>
      </c>
      <c r="AP93" s="120" t="s">
        <v>86</v>
      </c>
      <c r="AQ93" s="120" t="s">
        <v>754</v>
      </c>
      <c r="AR93" s="120" t="s">
        <v>755</v>
      </c>
      <c r="AS93" s="120" t="s">
        <v>708</v>
      </c>
      <c r="AT93" s="120" t="s">
        <v>708</v>
      </c>
      <c r="AU93" s="120" t="s">
        <v>315</v>
      </c>
      <c r="AV93" s="120" t="s">
        <v>316</v>
      </c>
      <c r="AW93" s="120" t="s">
        <v>92</v>
      </c>
      <c r="AX93" s="120" t="s">
        <v>103</v>
      </c>
      <c r="AY93" s="120">
        <v>0</v>
      </c>
      <c r="AZ93" s="120">
        <v>0</v>
      </c>
      <c r="BA93" s="120" t="s">
        <v>86</v>
      </c>
      <c r="BB93" s="134" t="s">
        <v>756</v>
      </c>
      <c r="BC93" s="120" t="s">
        <v>86</v>
      </c>
    </row>
    <row r="94" spans="1:55" ht="14.25" customHeight="1">
      <c r="A94" t="str">
        <f>IFERROR(VLOOKUP(AV94,Nómina!B:E,4,0),"")</f>
        <v>PAMELA VERONICA CID NAVIA  </v>
      </c>
      <c r="B94" t="str">
        <f>IFERROR(VLOOKUP(A94,Nómina!E:F,2,0),"")</f>
        <v>8008360-2</v>
      </c>
      <c r="C94" s="30">
        <f t="shared" si="18"/>
        <v>22689</v>
      </c>
      <c r="D94" t="str">
        <f t="shared" si="19"/>
        <v>2026-07-10</v>
      </c>
      <c r="E94" t="str">
        <f t="shared" si="20"/>
        <v>HOTEL</v>
      </c>
      <c r="F94" t="str">
        <f t="shared" si="21"/>
        <v>Masaje</v>
      </c>
      <c r="G94" t="str">
        <f t="shared" si="22"/>
        <v>Individual</v>
      </c>
      <c r="H94" t="str">
        <f t="shared" si="23"/>
        <v>60min</v>
      </c>
      <c r="I94" t="str">
        <f t="shared" si="24"/>
        <v>Relajante</v>
      </c>
      <c r="J94" t="str">
        <f t="shared" si="25"/>
        <v>VITACURA</v>
      </c>
      <c r="K94" t="str">
        <f t="shared" si="26"/>
        <v>Nombre huésped: jonathan saliba
Número de habitación:607</v>
      </c>
      <c r="L94">
        <f t="shared" si="27"/>
        <v>0</v>
      </c>
      <c r="M94">
        <f t="shared" si="28"/>
        <v>0</v>
      </c>
      <c r="N94" t="str">
        <f t="shared" si="29"/>
        <v/>
      </c>
      <c r="O94" s="10" t="str">
        <f>+VLOOKUP(Z94,listas!$B:$C,2,0)</f>
        <v>HOTEL</v>
      </c>
      <c r="P94" s="11">
        <f t="shared" si="17"/>
        <v>45000</v>
      </c>
      <c r="Q94" s="11">
        <f t="shared" si="30"/>
        <v>22689</v>
      </c>
      <c r="R94" s="59">
        <f t="shared" si="31"/>
        <v>7</v>
      </c>
      <c r="S94" s="59">
        <f t="shared" si="32"/>
        <v>10</v>
      </c>
      <c r="T94" s="11">
        <f t="shared" si="33"/>
        <v>1</v>
      </c>
      <c r="U94" s="120" t="s">
        <v>80</v>
      </c>
      <c r="V94" s="120" t="s">
        <v>757</v>
      </c>
      <c r="W94" s="120" t="s">
        <v>752</v>
      </c>
      <c r="X94" s="120" t="s">
        <v>752</v>
      </c>
      <c r="Y94" s="120" t="s">
        <v>525</v>
      </c>
      <c r="Z94" s="120" t="s">
        <v>5</v>
      </c>
      <c r="AA94" s="120" t="s">
        <v>81</v>
      </c>
      <c r="AB94" s="120" t="s">
        <v>5</v>
      </c>
      <c r="AC94" s="120" t="s">
        <v>82</v>
      </c>
      <c r="AD94" s="120" t="s">
        <v>83</v>
      </c>
      <c r="AE94" s="120" t="s">
        <v>84</v>
      </c>
      <c r="AF94" s="120" t="s">
        <v>85</v>
      </c>
      <c r="AG94" s="133">
        <v>45000</v>
      </c>
      <c r="AH94" s="133">
        <v>45000</v>
      </c>
      <c r="AI94" s="133">
        <v>0</v>
      </c>
      <c r="AJ94" s="133">
        <v>0</v>
      </c>
      <c r="AK94" s="133">
        <v>27000</v>
      </c>
      <c r="AL94" s="120" t="s">
        <v>86</v>
      </c>
      <c r="AM94" s="120" t="s">
        <v>86</v>
      </c>
      <c r="AN94" s="120" t="s">
        <v>86</v>
      </c>
      <c r="AO94" s="120" t="s">
        <v>86</v>
      </c>
      <c r="AP94" s="120" t="s">
        <v>86</v>
      </c>
      <c r="AQ94" s="120" t="s">
        <v>599</v>
      </c>
      <c r="AR94" s="120" t="s">
        <v>600</v>
      </c>
      <c r="AS94" s="120" t="s">
        <v>115</v>
      </c>
      <c r="AT94" s="120" t="s">
        <v>115</v>
      </c>
      <c r="AU94" s="120" t="s">
        <v>144</v>
      </c>
      <c r="AV94" s="120" t="s">
        <v>19</v>
      </c>
      <c r="AW94" s="120" t="s">
        <v>92</v>
      </c>
      <c r="AX94" s="120" t="s">
        <v>758</v>
      </c>
      <c r="AY94" s="120">
        <v>0</v>
      </c>
      <c r="AZ94" s="120">
        <v>0</v>
      </c>
      <c r="BA94" s="120" t="s">
        <v>86</v>
      </c>
      <c r="BB94" s="134" t="s">
        <v>759</v>
      </c>
      <c r="BC94" s="120" t="s">
        <v>86</v>
      </c>
    </row>
    <row r="95" spans="1:55" ht="14.25" customHeight="1">
      <c r="A95" t="str">
        <f>IFERROR(VLOOKUP(AV95,Nómina!B:E,4,0),"")</f>
        <v>EUGENIA ISABEL MONTOYA VIELMA</v>
      </c>
      <c r="B95" t="str">
        <f>IFERROR(VLOOKUP(A95,Nómina!E:F,2,0),"")</f>
        <v>12897620-5</v>
      </c>
      <c r="C95" s="30">
        <f t="shared" si="18"/>
        <v>22689</v>
      </c>
      <c r="D95" t="str">
        <f t="shared" si="19"/>
        <v>2026-07-10</v>
      </c>
      <c r="E95" t="str">
        <f t="shared" si="20"/>
        <v>B2C</v>
      </c>
      <c r="F95" t="str">
        <f t="shared" si="21"/>
        <v>Masaje</v>
      </c>
      <c r="G95" t="str">
        <f t="shared" si="22"/>
        <v>Individual</v>
      </c>
      <c r="H95" t="str">
        <f t="shared" si="23"/>
        <v>60min</v>
      </c>
      <c r="I95" t="str">
        <f t="shared" si="24"/>
        <v>Relajante</v>
      </c>
      <c r="J95" t="str">
        <f t="shared" si="25"/>
        <v>PROVIDENCIA</v>
      </c>
      <c r="K95" t="str">
        <f t="shared" si="26"/>
        <v>Ninguno</v>
      </c>
      <c r="L95">
        <f t="shared" si="27"/>
        <v>0</v>
      </c>
      <c r="M95">
        <f t="shared" si="28"/>
        <v>0</v>
      </c>
      <c r="N95" t="str">
        <f t="shared" si="29"/>
        <v/>
      </c>
      <c r="O95" s="10" t="str">
        <f>+VLOOKUP(Z95,listas!$B:$C,2,0)</f>
        <v>B2C</v>
      </c>
      <c r="P95" s="11">
        <f t="shared" si="17"/>
        <v>45000</v>
      </c>
      <c r="Q95" s="11">
        <f t="shared" si="30"/>
        <v>22689</v>
      </c>
      <c r="R95" s="59">
        <f t="shared" si="31"/>
        <v>7</v>
      </c>
      <c r="S95" s="59">
        <f t="shared" si="32"/>
        <v>10</v>
      </c>
      <c r="T95" s="11">
        <f t="shared" si="33"/>
        <v>1</v>
      </c>
      <c r="U95" s="120" t="s">
        <v>80</v>
      </c>
      <c r="V95" s="120" t="s">
        <v>760</v>
      </c>
      <c r="W95" s="120" t="s">
        <v>679</v>
      </c>
      <c r="X95" s="120" t="s">
        <v>752</v>
      </c>
      <c r="Y95" s="120" t="s">
        <v>122</v>
      </c>
      <c r="Z95" s="120" t="s">
        <v>98</v>
      </c>
      <c r="AA95" s="120" t="s">
        <v>131</v>
      </c>
      <c r="AB95" s="120" t="s">
        <v>4</v>
      </c>
      <c r="AC95" s="120" t="s">
        <v>82</v>
      </c>
      <c r="AD95" s="120" t="s">
        <v>83</v>
      </c>
      <c r="AE95" s="120" t="s">
        <v>84</v>
      </c>
      <c r="AF95" s="120" t="s">
        <v>85</v>
      </c>
      <c r="AG95" s="133">
        <v>45000</v>
      </c>
      <c r="AH95" s="133">
        <v>40500</v>
      </c>
      <c r="AI95" s="133">
        <v>0</v>
      </c>
      <c r="AJ95" s="133">
        <v>4500</v>
      </c>
      <c r="AK95" s="133">
        <v>27000</v>
      </c>
      <c r="AL95" s="120" t="s">
        <v>761</v>
      </c>
      <c r="AM95" s="120" t="s">
        <v>86</v>
      </c>
      <c r="AN95" s="120" t="s">
        <v>86</v>
      </c>
      <c r="AO95" s="120" t="s">
        <v>86</v>
      </c>
      <c r="AP95" s="120" t="s">
        <v>86</v>
      </c>
      <c r="AQ95" s="120" t="s">
        <v>762</v>
      </c>
      <c r="AR95" s="120" t="s">
        <v>763</v>
      </c>
      <c r="AS95" s="120" t="s">
        <v>143</v>
      </c>
      <c r="AT95" s="120" t="s">
        <v>143</v>
      </c>
      <c r="AU95" s="120" t="s">
        <v>152</v>
      </c>
      <c r="AV95" s="120" t="s">
        <v>14</v>
      </c>
      <c r="AW95" s="120" t="s">
        <v>92</v>
      </c>
      <c r="AX95" s="120" t="s">
        <v>103</v>
      </c>
      <c r="AY95" s="120">
        <v>0</v>
      </c>
      <c r="AZ95" s="120">
        <v>0</v>
      </c>
      <c r="BA95" s="120" t="s">
        <v>86</v>
      </c>
      <c r="BB95" s="134" t="s">
        <v>764</v>
      </c>
      <c r="BC95" s="120" t="s">
        <v>86</v>
      </c>
    </row>
    <row r="96" spans="1:55" ht="14.25" customHeight="1">
      <c r="A96" t="str">
        <f>IFERROR(VLOOKUP(AV96,Nómina!B:E,4,0),"")</f>
        <v>GENESIS VALENTINA SALAZAR GUEVARA</v>
      </c>
      <c r="B96" t="str">
        <f>IFERROR(VLOOKUP(A96,Nómina!E:F,2,0),"")</f>
        <v>27828546-4</v>
      </c>
      <c r="C96" s="30">
        <f t="shared" si="18"/>
        <v>22689</v>
      </c>
      <c r="D96" t="str">
        <f t="shared" si="19"/>
        <v>2026-07-10</v>
      </c>
      <c r="E96" t="str">
        <f t="shared" si="20"/>
        <v>HOTEL</v>
      </c>
      <c r="F96" t="str">
        <f t="shared" si="21"/>
        <v>Masaje</v>
      </c>
      <c r="G96" t="str">
        <f t="shared" si="22"/>
        <v>Individual</v>
      </c>
      <c r="H96" t="str">
        <f t="shared" si="23"/>
        <v>60min</v>
      </c>
      <c r="I96" t="str">
        <f t="shared" si="24"/>
        <v>Tejido profundo</v>
      </c>
      <c r="J96" t="str">
        <f t="shared" si="25"/>
        <v>VITACURA</v>
      </c>
      <c r="K96" t="str">
        <f t="shared" si="26"/>
        <v>Huésped: Emma Curnow. Hab: 406. Solicita: Danilo.</v>
      </c>
      <c r="L96">
        <f t="shared" si="27"/>
        <v>0</v>
      </c>
      <c r="M96">
        <f t="shared" si="28"/>
        <v>0</v>
      </c>
      <c r="N96" t="str">
        <f t="shared" si="29"/>
        <v/>
      </c>
      <c r="O96" s="10" t="str">
        <f>+VLOOKUP(Z96,listas!$B:$C,2,0)</f>
        <v>HOTEL</v>
      </c>
      <c r="P96" s="11">
        <f t="shared" si="17"/>
        <v>45000</v>
      </c>
      <c r="Q96" s="11">
        <f t="shared" si="30"/>
        <v>22689</v>
      </c>
      <c r="R96" s="59">
        <f t="shared" si="31"/>
        <v>7</v>
      </c>
      <c r="S96" s="59">
        <f t="shared" si="32"/>
        <v>10</v>
      </c>
      <c r="T96" s="11">
        <f t="shared" si="33"/>
        <v>1</v>
      </c>
      <c r="U96" s="120" t="s">
        <v>80</v>
      </c>
      <c r="V96" s="120" t="s">
        <v>765</v>
      </c>
      <c r="W96" s="120" t="s">
        <v>653</v>
      </c>
      <c r="X96" s="120" t="s">
        <v>752</v>
      </c>
      <c r="Y96" s="120" t="s">
        <v>142</v>
      </c>
      <c r="Z96" s="120" t="s">
        <v>5</v>
      </c>
      <c r="AA96" s="120" t="s">
        <v>81</v>
      </c>
      <c r="AB96" s="120" t="s">
        <v>5</v>
      </c>
      <c r="AC96" s="120" t="s">
        <v>82</v>
      </c>
      <c r="AD96" s="120" t="s">
        <v>83</v>
      </c>
      <c r="AE96" s="120" t="s">
        <v>84</v>
      </c>
      <c r="AF96" s="120" t="s">
        <v>123</v>
      </c>
      <c r="AG96" s="133">
        <v>45000</v>
      </c>
      <c r="AH96" s="133">
        <v>45000</v>
      </c>
      <c r="AI96" s="133">
        <v>0</v>
      </c>
      <c r="AJ96" s="133">
        <v>0</v>
      </c>
      <c r="AK96" s="133">
        <v>27000</v>
      </c>
      <c r="AL96" s="120" t="s">
        <v>86</v>
      </c>
      <c r="AM96" s="120" t="s">
        <v>86</v>
      </c>
      <c r="AN96" s="120" t="s">
        <v>86</v>
      </c>
      <c r="AO96" s="120" t="s">
        <v>86</v>
      </c>
      <c r="AP96" s="120" t="s">
        <v>86</v>
      </c>
      <c r="AQ96" s="120" t="s">
        <v>124</v>
      </c>
      <c r="AR96" s="120" t="s">
        <v>125</v>
      </c>
      <c r="AS96" s="120" t="s">
        <v>115</v>
      </c>
      <c r="AT96" s="120" t="s">
        <v>115</v>
      </c>
      <c r="AU96" s="120" t="s">
        <v>109</v>
      </c>
      <c r="AV96" s="120" t="s">
        <v>549</v>
      </c>
      <c r="AW96" s="120" t="s">
        <v>92</v>
      </c>
      <c r="AX96" s="120" t="s">
        <v>766</v>
      </c>
      <c r="AY96" s="120">
        <v>0</v>
      </c>
      <c r="AZ96" s="120">
        <v>0</v>
      </c>
      <c r="BA96" s="120" t="s">
        <v>86</v>
      </c>
      <c r="BB96" s="134" t="s">
        <v>767</v>
      </c>
      <c r="BC96" s="120" t="s">
        <v>86</v>
      </c>
    </row>
    <row r="97" spans="1:55" ht="14.25" customHeight="1">
      <c r="A97" t="str">
        <f>IFERROR(VLOOKUP(AV97,Nómina!B:E,4,0),"")</f>
        <v>MARIA ELIANA BENAVIDES HIGUERA </v>
      </c>
      <c r="B97" t="str">
        <f>IFERROR(VLOOKUP(A97,Nómina!E:F,2,0),"")</f>
        <v>15168787-3</v>
      </c>
      <c r="C97" s="30">
        <f t="shared" si="18"/>
        <v>22689</v>
      </c>
      <c r="D97" t="str">
        <f t="shared" si="19"/>
        <v>2026-07-10</v>
      </c>
      <c r="E97" t="str">
        <f t="shared" si="20"/>
        <v>B2C</v>
      </c>
      <c r="F97" t="str">
        <f t="shared" si="21"/>
        <v>Masaje</v>
      </c>
      <c r="G97" t="str">
        <f t="shared" si="22"/>
        <v>Individual</v>
      </c>
      <c r="H97" t="str">
        <f t="shared" si="23"/>
        <v>60min</v>
      </c>
      <c r="I97" t="str">
        <f t="shared" si="24"/>
        <v>Relajante</v>
      </c>
      <c r="J97" t="str">
        <f t="shared" si="25"/>
        <v>LAS CONDES</v>
      </c>
      <c r="K97" t="str">
        <f t="shared" si="26"/>
        <v>Ninguno</v>
      </c>
      <c r="L97">
        <f t="shared" si="27"/>
        <v>0</v>
      </c>
      <c r="M97">
        <f t="shared" si="28"/>
        <v>0</v>
      </c>
      <c r="N97" t="str">
        <f t="shared" si="29"/>
        <v/>
      </c>
      <c r="O97" s="10" t="str">
        <f>+VLOOKUP(Z97,listas!$B:$C,2,0)</f>
        <v>B2C</v>
      </c>
      <c r="P97" s="11">
        <f t="shared" si="17"/>
        <v>45000</v>
      </c>
      <c r="Q97" s="11">
        <f t="shared" si="30"/>
        <v>22689</v>
      </c>
      <c r="R97" s="59">
        <f t="shared" si="31"/>
        <v>7</v>
      </c>
      <c r="S97" s="59">
        <f t="shared" si="32"/>
        <v>10</v>
      </c>
      <c r="T97" s="11">
        <f t="shared" si="33"/>
        <v>1</v>
      </c>
      <c r="U97" s="120" t="s">
        <v>80</v>
      </c>
      <c r="V97" s="120" t="s">
        <v>768</v>
      </c>
      <c r="W97" s="120" t="s">
        <v>670</v>
      </c>
      <c r="X97" s="120" t="s">
        <v>752</v>
      </c>
      <c r="Y97" s="120" t="s">
        <v>142</v>
      </c>
      <c r="Z97" s="120" t="s">
        <v>98</v>
      </c>
      <c r="AA97" s="120" t="s">
        <v>99</v>
      </c>
      <c r="AB97" s="120" t="s">
        <v>4</v>
      </c>
      <c r="AC97" s="120" t="s">
        <v>82</v>
      </c>
      <c r="AD97" s="120" t="s">
        <v>83</v>
      </c>
      <c r="AE97" s="120" t="s">
        <v>84</v>
      </c>
      <c r="AF97" s="120" t="s">
        <v>85</v>
      </c>
      <c r="AG97" s="133">
        <v>45000</v>
      </c>
      <c r="AH97" s="133">
        <v>40500</v>
      </c>
      <c r="AI97" s="133">
        <v>0</v>
      </c>
      <c r="AJ97" s="133">
        <v>4500</v>
      </c>
      <c r="AK97" s="133">
        <v>27000</v>
      </c>
      <c r="AL97" s="120" t="s">
        <v>761</v>
      </c>
      <c r="AM97" s="120" t="s">
        <v>86</v>
      </c>
      <c r="AN97" s="120" t="s">
        <v>86</v>
      </c>
      <c r="AO97" s="120" t="s">
        <v>86</v>
      </c>
      <c r="AP97" s="120" t="s">
        <v>86</v>
      </c>
      <c r="AQ97" s="120" t="s">
        <v>769</v>
      </c>
      <c r="AR97" s="120" t="s">
        <v>770</v>
      </c>
      <c r="AS97" s="120" t="s">
        <v>89</v>
      </c>
      <c r="AT97" s="120" t="s">
        <v>89</v>
      </c>
      <c r="AU97" s="120" t="s">
        <v>147</v>
      </c>
      <c r="AV97" s="120" t="s">
        <v>13</v>
      </c>
      <c r="AW97" s="120" t="s">
        <v>92</v>
      </c>
      <c r="AX97" s="120" t="s">
        <v>103</v>
      </c>
      <c r="AY97" s="120">
        <v>0</v>
      </c>
      <c r="AZ97" s="120">
        <v>0</v>
      </c>
      <c r="BA97" s="120" t="s">
        <v>86</v>
      </c>
      <c r="BB97" s="134" t="s">
        <v>771</v>
      </c>
      <c r="BC97" s="120" t="s">
        <v>86</v>
      </c>
    </row>
    <row r="98" spans="1:55" ht="14.25" customHeight="1">
      <c r="A98" t="str">
        <f>IFERROR(VLOOKUP(AV98,Nómina!B:E,4,0),"")</f>
        <v>KARIN BRILOVICH KLEINKOPF</v>
      </c>
      <c r="B98" t="str">
        <f>IFERROR(VLOOKUP(A98,Nómina!E:F,2,0),"")</f>
        <v>9384198-0</v>
      </c>
      <c r="C98" s="30">
        <f t="shared" si="18"/>
        <v>22689</v>
      </c>
      <c r="D98" t="str">
        <f t="shared" si="19"/>
        <v>2026-07-10</v>
      </c>
      <c r="E98" t="str">
        <f t="shared" si="20"/>
        <v>B2C</v>
      </c>
      <c r="F98" t="str">
        <f t="shared" si="21"/>
        <v>Masaje</v>
      </c>
      <c r="G98" t="str">
        <f t="shared" si="22"/>
        <v>Individual</v>
      </c>
      <c r="H98" t="str">
        <f t="shared" si="23"/>
        <v>60min</v>
      </c>
      <c r="I98" t="str">
        <f t="shared" si="24"/>
        <v>Tejido profundo</v>
      </c>
      <c r="J98" t="str">
        <f t="shared" si="25"/>
        <v>SANTIAGO DE CHILE</v>
      </c>
      <c r="K98" t="str">
        <f t="shared" si="26"/>
        <v>Ninguno</v>
      </c>
      <c r="L98">
        <f t="shared" si="27"/>
        <v>0</v>
      </c>
      <c r="M98">
        <f t="shared" si="28"/>
        <v>0</v>
      </c>
      <c r="N98" t="str">
        <f t="shared" si="29"/>
        <v/>
      </c>
      <c r="O98" s="10" t="str">
        <f>+VLOOKUP(Z98,listas!$B:$C,2,0)</f>
        <v>B2C</v>
      </c>
      <c r="P98" s="11">
        <f t="shared" si="17"/>
        <v>45000</v>
      </c>
      <c r="Q98" s="11">
        <f t="shared" si="30"/>
        <v>22689</v>
      </c>
      <c r="R98" s="59">
        <f t="shared" si="31"/>
        <v>7</v>
      </c>
      <c r="S98" s="59">
        <f t="shared" si="32"/>
        <v>10</v>
      </c>
      <c r="T98" s="11">
        <f t="shared" si="33"/>
        <v>1</v>
      </c>
      <c r="U98" s="120" t="s">
        <v>80</v>
      </c>
      <c r="V98" s="120" t="s">
        <v>772</v>
      </c>
      <c r="W98" s="120" t="s">
        <v>705</v>
      </c>
      <c r="X98" s="120" t="s">
        <v>752</v>
      </c>
      <c r="Y98" s="120" t="s">
        <v>128</v>
      </c>
      <c r="Z98" s="120" t="s">
        <v>164</v>
      </c>
      <c r="AA98" s="120" t="s">
        <v>99</v>
      </c>
      <c r="AB98" s="120" t="s">
        <v>4</v>
      </c>
      <c r="AC98" s="120" t="s">
        <v>82</v>
      </c>
      <c r="AD98" s="120" t="s">
        <v>83</v>
      </c>
      <c r="AE98" s="120" t="s">
        <v>84</v>
      </c>
      <c r="AF98" s="120" t="s">
        <v>123</v>
      </c>
      <c r="AG98" s="133">
        <v>45000</v>
      </c>
      <c r="AH98" s="133">
        <v>15000</v>
      </c>
      <c r="AI98" s="133">
        <v>30000</v>
      </c>
      <c r="AJ98" s="133">
        <v>0</v>
      </c>
      <c r="AK98" s="133">
        <v>27000</v>
      </c>
      <c r="AL98" s="120" t="s">
        <v>86</v>
      </c>
      <c r="AM98" s="120" t="s">
        <v>86</v>
      </c>
      <c r="AN98" s="120" t="s">
        <v>86</v>
      </c>
      <c r="AO98" s="120" t="s">
        <v>86</v>
      </c>
      <c r="AP98" s="120" t="s">
        <v>86</v>
      </c>
      <c r="AQ98" s="120" t="s">
        <v>773</v>
      </c>
      <c r="AR98" s="120" t="s">
        <v>774</v>
      </c>
      <c r="AS98" s="120" t="s">
        <v>108</v>
      </c>
      <c r="AT98" s="120" t="s">
        <v>90</v>
      </c>
      <c r="AU98" s="120" t="s">
        <v>317</v>
      </c>
      <c r="AV98" s="120" t="s">
        <v>318</v>
      </c>
      <c r="AW98" s="120" t="s">
        <v>92</v>
      </c>
      <c r="AX98" s="120" t="s">
        <v>103</v>
      </c>
      <c r="AY98" s="120">
        <v>0</v>
      </c>
      <c r="AZ98" s="120">
        <v>0</v>
      </c>
      <c r="BA98" s="120" t="s">
        <v>86</v>
      </c>
      <c r="BB98" s="134" t="s">
        <v>775</v>
      </c>
      <c r="BC98" s="120" t="s">
        <v>86</v>
      </c>
    </row>
    <row r="99" spans="1:55" ht="14.25" customHeight="1">
      <c r="A99" t="str">
        <f>IFERROR(VLOOKUP(AV99,Nómina!B:E,4,0),"")</f>
        <v>KARIN BRILOVICH KLEINKOPF</v>
      </c>
      <c r="B99" t="str">
        <f>IFERROR(VLOOKUP(A99,Nómina!E:F,2,0),"")</f>
        <v>9384198-0</v>
      </c>
      <c r="C99" s="30">
        <f t="shared" si="18"/>
        <v>5042</v>
      </c>
      <c r="D99" t="str">
        <f t="shared" si="19"/>
        <v>2026-07-10</v>
      </c>
      <c r="E99" t="str">
        <f t="shared" si="20"/>
        <v>B2C</v>
      </c>
      <c r="F99" t="str">
        <f t="shared" si="21"/>
        <v>Addon</v>
      </c>
      <c r="G99" t="str">
        <f t="shared" si="22"/>
        <v>Individual</v>
      </c>
      <c r="H99" t="str">
        <f t="shared" si="23"/>
        <v>15min</v>
      </c>
      <c r="I99" t="str">
        <f t="shared" si="24"/>
        <v>Masaje Tiempo Extra</v>
      </c>
      <c r="J99" t="str">
        <f t="shared" si="25"/>
        <v>SANTIAGO DE CHILE</v>
      </c>
      <c r="K99" t="str">
        <f t="shared" si="26"/>
        <v>Ninguno</v>
      </c>
      <c r="L99">
        <f t="shared" si="27"/>
        <v>0</v>
      </c>
      <c r="M99">
        <f t="shared" si="28"/>
        <v>0</v>
      </c>
      <c r="N99" t="str">
        <f t="shared" si="29"/>
        <v/>
      </c>
      <c r="O99" s="10" t="str">
        <f>+VLOOKUP(Z99,listas!$B:$C,2,0)</f>
        <v>B2C</v>
      </c>
      <c r="P99" s="11">
        <f t="shared" si="17"/>
        <v>10000</v>
      </c>
      <c r="Q99" s="11">
        <f t="shared" si="30"/>
        <v>5042</v>
      </c>
      <c r="R99" s="59">
        <f t="shared" si="31"/>
        <v>7</v>
      </c>
      <c r="S99" s="59">
        <f t="shared" si="32"/>
        <v>10</v>
      </c>
      <c r="T99" s="11">
        <f t="shared" si="33"/>
        <v>1</v>
      </c>
      <c r="U99" s="135" t="s">
        <v>80</v>
      </c>
      <c r="V99" s="135" t="s">
        <v>772</v>
      </c>
      <c r="W99" s="135" t="s">
        <v>705</v>
      </c>
      <c r="X99" s="135" t="s">
        <v>752</v>
      </c>
      <c r="Y99" s="135" t="s">
        <v>128</v>
      </c>
      <c r="Z99" s="135" t="s">
        <v>164</v>
      </c>
      <c r="AA99" s="135" t="s">
        <v>99</v>
      </c>
      <c r="AB99" s="135" t="s">
        <v>4</v>
      </c>
      <c r="AC99" s="135" t="s">
        <v>93</v>
      </c>
      <c r="AD99" s="135" t="s">
        <v>83</v>
      </c>
      <c r="AE99" s="135" t="s">
        <v>94</v>
      </c>
      <c r="AF99" s="135" t="s">
        <v>127</v>
      </c>
      <c r="AG99" s="136">
        <v>10000</v>
      </c>
      <c r="AH99" s="136">
        <v>0</v>
      </c>
      <c r="AI99" s="136">
        <v>10000</v>
      </c>
      <c r="AJ99" s="136">
        <v>0</v>
      </c>
      <c r="AK99" s="136">
        <v>6000</v>
      </c>
      <c r="AL99" s="135" t="s">
        <v>86</v>
      </c>
      <c r="AM99" s="135" t="s">
        <v>86</v>
      </c>
      <c r="AN99" s="135" t="s">
        <v>86</v>
      </c>
      <c r="AO99" s="135" t="s">
        <v>86</v>
      </c>
      <c r="AP99" s="135" t="s">
        <v>86</v>
      </c>
      <c r="AQ99" s="135" t="s">
        <v>773</v>
      </c>
      <c r="AR99" s="135" t="s">
        <v>774</v>
      </c>
      <c r="AS99" s="135" t="s">
        <v>108</v>
      </c>
      <c r="AT99" s="135" t="s">
        <v>90</v>
      </c>
      <c r="AU99" s="135" t="s">
        <v>317</v>
      </c>
      <c r="AV99" s="135" t="s">
        <v>318</v>
      </c>
      <c r="AW99" s="135" t="s">
        <v>92</v>
      </c>
      <c r="AX99" s="135" t="s">
        <v>103</v>
      </c>
      <c r="AY99" s="135">
        <v>0</v>
      </c>
      <c r="AZ99" s="135">
        <v>0</v>
      </c>
      <c r="BA99" s="135" t="s">
        <v>86</v>
      </c>
      <c r="BB99" s="137" t="s">
        <v>775</v>
      </c>
      <c r="BC99" s="135" t="s">
        <v>86</v>
      </c>
    </row>
    <row r="100" spans="1:55" ht="14.25" customHeight="1">
      <c r="A100" t="str">
        <f>IFERROR(VLOOKUP(AV100,Nómina!B:E,4,0),"")</f>
        <v>KARIN BRILOVICH KLEINKOPF</v>
      </c>
      <c r="B100" t="str">
        <f>IFERROR(VLOOKUP(A100,Nómina!E:F,2,0),"")</f>
        <v>9384198-0</v>
      </c>
      <c r="C100" s="30">
        <f t="shared" si="18"/>
        <v>5042</v>
      </c>
      <c r="D100" t="str">
        <f t="shared" si="19"/>
        <v>2026-07-10</v>
      </c>
      <c r="E100" t="str">
        <f t="shared" si="20"/>
        <v>B2C</v>
      </c>
      <c r="F100" t="str">
        <f t="shared" si="21"/>
        <v>Addon</v>
      </c>
      <c r="G100" t="str">
        <f t="shared" si="22"/>
        <v>Individual</v>
      </c>
      <c r="H100" t="str">
        <f t="shared" si="23"/>
        <v>15min</v>
      </c>
      <c r="I100" t="str">
        <f t="shared" si="24"/>
        <v>Reflexología</v>
      </c>
      <c r="J100" t="str">
        <f t="shared" si="25"/>
        <v>SANTIAGO DE CHILE</v>
      </c>
      <c r="K100" t="str">
        <f t="shared" si="26"/>
        <v>Ninguno</v>
      </c>
      <c r="L100">
        <f t="shared" si="27"/>
        <v>0</v>
      </c>
      <c r="M100">
        <f t="shared" si="28"/>
        <v>0</v>
      </c>
      <c r="N100" t="str">
        <f t="shared" si="29"/>
        <v/>
      </c>
      <c r="O100" s="10" t="str">
        <f>+VLOOKUP(Z100,listas!$B:$C,2,0)</f>
        <v>B2C</v>
      </c>
      <c r="P100" s="11">
        <f t="shared" si="17"/>
        <v>10000</v>
      </c>
      <c r="Q100" s="11">
        <f t="shared" si="30"/>
        <v>5042</v>
      </c>
      <c r="R100" s="59">
        <f t="shared" si="31"/>
        <v>7</v>
      </c>
      <c r="S100" s="59">
        <f t="shared" si="32"/>
        <v>10</v>
      </c>
      <c r="T100" s="11">
        <f t="shared" si="33"/>
        <v>1</v>
      </c>
      <c r="U100" s="135" t="s">
        <v>80</v>
      </c>
      <c r="V100" s="135" t="s">
        <v>772</v>
      </c>
      <c r="W100" s="135" t="s">
        <v>705</v>
      </c>
      <c r="X100" s="135" t="s">
        <v>752</v>
      </c>
      <c r="Y100" s="135" t="s">
        <v>128</v>
      </c>
      <c r="Z100" s="135" t="s">
        <v>164</v>
      </c>
      <c r="AA100" s="135" t="s">
        <v>99</v>
      </c>
      <c r="AB100" s="135" t="s">
        <v>4</v>
      </c>
      <c r="AC100" s="135" t="s">
        <v>93</v>
      </c>
      <c r="AD100" s="135" t="s">
        <v>83</v>
      </c>
      <c r="AE100" s="135" t="s">
        <v>94</v>
      </c>
      <c r="AF100" s="135" t="s">
        <v>95</v>
      </c>
      <c r="AG100" s="136">
        <v>10000</v>
      </c>
      <c r="AH100" s="136">
        <v>0</v>
      </c>
      <c r="AI100" s="136">
        <v>10000</v>
      </c>
      <c r="AJ100" s="136">
        <v>0</v>
      </c>
      <c r="AK100" s="136">
        <v>6000</v>
      </c>
      <c r="AL100" s="135" t="s">
        <v>86</v>
      </c>
      <c r="AM100" s="135" t="s">
        <v>86</v>
      </c>
      <c r="AN100" s="135" t="s">
        <v>86</v>
      </c>
      <c r="AO100" s="135" t="s">
        <v>86</v>
      </c>
      <c r="AP100" s="135" t="s">
        <v>86</v>
      </c>
      <c r="AQ100" s="135" t="s">
        <v>773</v>
      </c>
      <c r="AR100" s="135" t="s">
        <v>774</v>
      </c>
      <c r="AS100" s="135" t="s">
        <v>108</v>
      </c>
      <c r="AT100" s="135" t="s">
        <v>90</v>
      </c>
      <c r="AU100" s="135" t="s">
        <v>317</v>
      </c>
      <c r="AV100" s="135" t="s">
        <v>318</v>
      </c>
      <c r="AW100" s="135" t="s">
        <v>92</v>
      </c>
      <c r="AX100" s="135" t="s">
        <v>103</v>
      </c>
      <c r="AY100" s="135">
        <v>0</v>
      </c>
      <c r="AZ100" s="135">
        <v>0</v>
      </c>
      <c r="BA100" s="135" t="s">
        <v>86</v>
      </c>
      <c r="BB100" s="137" t="s">
        <v>775</v>
      </c>
      <c r="BC100" s="135" t="s">
        <v>86</v>
      </c>
    </row>
    <row r="101" spans="1:55" ht="14.25" customHeight="1">
      <c r="A101" t="str">
        <f>IFERROR(VLOOKUP(AV101,Nómina!B:E,4,0),"")</f>
        <v>KARIN BRILOVICH KLEINKOPF</v>
      </c>
      <c r="B101" t="str">
        <f>IFERROR(VLOOKUP(A101,Nómina!E:F,2,0),"")</f>
        <v>9384198-0</v>
      </c>
      <c r="C101" s="30">
        <f t="shared" si="18"/>
        <v>3185</v>
      </c>
      <c r="D101" t="str">
        <f t="shared" si="19"/>
        <v>2026-07-10</v>
      </c>
      <c r="E101" t="str">
        <f t="shared" si="20"/>
        <v>B2C</v>
      </c>
      <c r="F101" t="str">
        <f t="shared" si="21"/>
        <v>Extra</v>
      </c>
      <c r="G101" t="str">
        <f t="shared" si="22"/>
        <v>Individual</v>
      </c>
      <c r="H101" t="str">
        <f t="shared" si="23"/>
        <v>-</v>
      </c>
      <c r="I101" t="str">
        <f t="shared" si="24"/>
        <v>Extra de transporte</v>
      </c>
      <c r="J101" t="str">
        <f t="shared" si="25"/>
        <v>SANTIAGO DE CHILE</v>
      </c>
      <c r="K101" t="str">
        <f t="shared" si="26"/>
        <v>Ninguno</v>
      </c>
      <c r="L101">
        <f t="shared" si="27"/>
        <v>0</v>
      </c>
      <c r="M101">
        <f t="shared" si="28"/>
        <v>0</v>
      </c>
      <c r="N101" t="str">
        <f t="shared" si="29"/>
        <v/>
      </c>
      <c r="O101" s="10" t="str">
        <f>+VLOOKUP(Z101,listas!$B:$C,2,0)</f>
        <v>B2C</v>
      </c>
      <c r="P101" s="11">
        <f t="shared" si="17"/>
        <v>3990</v>
      </c>
      <c r="Q101" s="11">
        <f t="shared" si="30"/>
        <v>3185</v>
      </c>
      <c r="R101" s="59">
        <f t="shared" si="31"/>
        <v>7</v>
      </c>
      <c r="S101" s="59">
        <f t="shared" si="32"/>
        <v>10</v>
      </c>
      <c r="T101" s="11">
        <f t="shared" si="33"/>
        <v>1</v>
      </c>
      <c r="U101" s="138" t="s">
        <v>80</v>
      </c>
      <c r="V101" s="138" t="s">
        <v>772</v>
      </c>
      <c r="W101" s="138" t="s">
        <v>705</v>
      </c>
      <c r="X101" s="138" t="s">
        <v>752</v>
      </c>
      <c r="Y101" s="138" t="s">
        <v>128</v>
      </c>
      <c r="Z101" s="138" t="s">
        <v>164</v>
      </c>
      <c r="AA101" s="138" t="s">
        <v>99</v>
      </c>
      <c r="AB101" s="138" t="s">
        <v>4</v>
      </c>
      <c r="AC101" s="138" t="s">
        <v>104</v>
      </c>
      <c r="AD101" s="138" t="s">
        <v>83</v>
      </c>
      <c r="AE101" s="138" t="s">
        <v>105</v>
      </c>
      <c r="AF101" s="138" t="s">
        <v>106</v>
      </c>
      <c r="AG101" s="139">
        <v>3990</v>
      </c>
      <c r="AH101" s="139">
        <v>0</v>
      </c>
      <c r="AI101" s="139">
        <v>3990</v>
      </c>
      <c r="AJ101" s="139">
        <v>0</v>
      </c>
      <c r="AK101" s="139">
        <v>3990</v>
      </c>
      <c r="AL101" s="138" t="s">
        <v>86</v>
      </c>
      <c r="AM101" s="138" t="s">
        <v>86</v>
      </c>
      <c r="AN101" s="138" t="s">
        <v>86</v>
      </c>
      <c r="AO101" s="138" t="s">
        <v>86</v>
      </c>
      <c r="AP101" s="138" t="s">
        <v>86</v>
      </c>
      <c r="AQ101" s="138" t="s">
        <v>773</v>
      </c>
      <c r="AR101" s="138" t="s">
        <v>774</v>
      </c>
      <c r="AS101" s="138" t="s">
        <v>108</v>
      </c>
      <c r="AT101" s="138" t="s">
        <v>90</v>
      </c>
      <c r="AU101" s="138" t="s">
        <v>317</v>
      </c>
      <c r="AV101" s="138" t="s">
        <v>318</v>
      </c>
      <c r="AW101" s="138" t="s">
        <v>92</v>
      </c>
      <c r="AX101" s="138" t="s">
        <v>103</v>
      </c>
      <c r="AY101" s="138">
        <v>0</v>
      </c>
      <c r="AZ101" s="138">
        <v>0</v>
      </c>
      <c r="BA101" s="138" t="s">
        <v>86</v>
      </c>
      <c r="BB101" s="140" t="s">
        <v>775</v>
      </c>
      <c r="BC101" s="138" t="s">
        <v>86</v>
      </c>
    </row>
    <row r="102" spans="1:55" ht="14.25" customHeight="1">
      <c r="A102" t="str">
        <f>IFERROR(VLOOKUP(AV102,Nómina!B:E,4,0),"")</f>
        <v>PAMELA VERONICA CID NAVIA  </v>
      </c>
      <c r="B102" t="str">
        <f>IFERROR(VLOOKUP(A102,Nómina!E:F,2,0),"")</f>
        <v>8008360-2</v>
      </c>
      <c r="C102" s="30">
        <f t="shared" si="18"/>
        <v>22689</v>
      </c>
      <c r="D102" t="str">
        <f t="shared" si="19"/>
        <v>2026-07-10</v>
      </c>
      <c r="E102" t="str">
        <f t="shared" si="20"/>
        <v>B2C</v>
      </c>
      <c r="F102" t="str">
        <f t="shared" si="21"/>
        <v>Masaje</v>
      </c>
      <c r="G102" t="str">
        <f t="shared" si="22"/>
        <v>Individual</v>
      </c>
      <c r="H102" t="str">
        <f t="shared" si="23"/>
        <v>60min</v>
      </c>
      <c r="I102" t="str">
        <f t="shared" si="24"/>
        <v>Relajante</v>
      </c>
      <c r="J102" t="str">
        <f t="shared" si="25"/>
        <v>LAS CONDES</v>
      </c>
      <c r="K102" t="str">
        <f t="shared" si="26"/>
        <v>Ninguno</v>
      </c>
      <c r="L102">
        <f t="shared" si="27"/>
        <v>0</v>
      </c>
      <c r="M102">
        <f t="shared" si="28"/>
        <v>0</v>
      </c>
      <c r="N102" t="str">
        <f t="shared" si="29"/>
        <v/>
      </c>
      <c r="O102" s="10" t="str">
        <f>+VLOOKUP(Z102,listas!$B:$C,2,0)</f>
        <v>B2C</v>
      </c>
      <c r="P102" s="11">
        <f t="shared" si="17"/>
        <v>45000</v>
      </c>
      <c r="Q102" s="11">
        <f t="shared" si="30"/>
        <v>22689</v>
      </c>
      <c r="R102" s="59">
        <f t="shared" si="31"/>
        <v>7</v>
      </c>
      <c r="S102" s="59">
        <f t="shared" si="32"/>
        <v>10</v>
      </c>
      <c r="T102" s="11">
        <f t="shared" si="33"/>
        <v>1</v>
      </c>
      <c r="U102" s="120" t="s">
        <v>80</v>
      </c>
      <c r="V102" s="120" t="s">
        <v>776</v>
      </c>
      <c r="W102" s="120" t="s">
        <v>752</v>
      </c>
      <c r="X102" s="120" t="s">
        <v>752</v>
      </c>
      <c r="Y102" s="120" t="s">
        <v>128</v>
      </c>
      <c r="Z102" s="120" t="s">
        <v>98</v>
      </c>
      <c r="AA102" s="120" t="s">
        <v>99</v>
      </c>
      <c r="AB102" s="120" t="s">
        <v>4</v>
      </c>
      <c r="AC102" s="120" t="s">
        <v>82</v>
      </c>
      <c r="AD102" s="120" t="s">
        <v>83</v>
      </c>
      <c r="AE102" s="120" t="s">
        <v>84</v>
      </c>
      <c r="AF102" s="120" t="s">
        <v>85</v>
      </c>
      <c r="AG102" s="133">
        <v>45000</v>
      </c>
      <c r="AH102" s="133">
        <v>45000</v>
      </c>
      <c r="AI102" s="133">
        <v>0</v>
      </c>
      <c r="AJ102" s="133">
        <v>0</v>
      </c>
      <c r="AK102" s="133">
        <v>27000</v>
      </c>
      <c r="AL102" s="120" t="s">
        <v>86</v>
      </c>
      <c r="AM102" s="120" t="s">
        <v>86</v>
      </c>
      <c r="AN102" s="120" t="s">
        <v>86</v>
      </c>
      <c r="AO102" s="120" t="s">
        <v>86</v>
      </c>
      <c r="AP102" s="120" t="s">
        <v>86</v>
      </c>
      <c r="AQ102" s="120" t="s">
        <v>777</v>
      </c>
      <c r="AR102" s="120" t="s">
        <v>778</v>
      </c>
      <c r="AS102" s="120" t="s">
        <v>89</v>
      </c>
      <c r="AT102" s="120" t="s">
        <v>89</v>
      </c>
      <c r="AU102" s="120" t="s">
        <v>144</v>
      </c>
      <c r="AV102" s="120" t="s">
        <v>19</v>
      </c>
      <c r="AW102" s="120" t="s">
        <v>92</v>
      </c>
      <c r="AX102" s="120" t="s">
        <v>103</v>
      </c>
      <c r="AY102" s="120">
        <v>0</v>
      </c>
      <c r="AZ102" s="120">
        <v>0</v>
      </c>
      <c r="BA102" s="120" t="s">
        <v>86</v>
      </c>
      <c r="BB102" s="134" t="s">
        <v>779</v>
      </c>
      <c r="BC102" s="120" t="s">
        <v>86</v>
      </c>
    </row>
    <row r="103" spans="1:55" ht="14.25" customHeight="1">
      <c r="A103" t="str">
        <f>IFERROR(VLOOKUP(AV103,Nómina!B:E,4,0),"")</f>
        <v>MARIA ELIANA BENAVIDES HIGUERA </v>
      </c>
      <c r="B103" t="str">
        <f>IFERROR(VLOOKUP(A103,Nómina!E:F,2,0),"")</f>
        <v>15168787-3</v>
      </c>
      <c r="C103" s="30">
        <f t="shared" si="18"/>
        <v>22689</v>
      </c>
      <c r="D103" t="str">
        <f t="shared" si="19"/>
        <v>2026-07-10</v>
      </c>
      <c r="E103" t="str">
        <f t="shared" si="20"/>
        <v>HOTEL</v>
      </c>
      <c r="F103" t="str">
        <f t="shared" si="21"/>
        <v>Masaje</v>
      </c>
      <c r="G103" t="str">
        <f t="shared" si="22"/>
        <v>Individual</v>
      </c>
      <c r="H103" t="str">
        <f t="shared" si="23"/>
        <v>60min</v>
      </c>
      <c r="I103" t="str">
        <f t="shared" si="24"/>
        <v>Deportivo</v>
      </c>
      <c r="J103" t="str">
        <f t="shared" si="25"/>
        <v>LAS CONDES</v>
      </c>
      <c r="K103" t="str">
        <f t="shared" si="26"/>
        <v>Huésped: Claudio Catano. Hab: 1318. Solicita: Cindy Lee.</v>
      </c>
      <c r="L103">
        <f t="shared" si="27"/>
        <v>0</v>
      </c>
      <c r="M103">
        <f t="shared" si="28"/>
        <v>0</v>
      </c>
      <c r="N103" t="str">
        <f t="shared" si="29"/>
        <v/>
      </c>
      <c r="O103" s="10" t="str">
        <f>+VLOOKUP(Z103,listas!$B:$C,2,0)</f>
        <v>HOTEL</v>
      </c>
      <c r="P103" s="11">
        <f t="shared" si="17"/>
        <v>45000</v>
      </c>
      <c r="Q103" s="11">
        <f t="shared" si="30"/>
        <v>22689</v>
      </c>
      <c r="R103" s="59">
        <f t="shared" si="31"/>
        <v>7</v>
      </c>
      <c r="S103" s="59">
        <f t="shared" si="32"/>
        <v>10</v>
      </c>
      <c r="T103" s="11">
        <f t="shared" si="33"/>
        <v>1</v>
      </c>
      <c r="U103" s="120" t="s">
        <v>80</v>
      </c>
      <c r="V103" s="120" t="s">
        <v>780</v>
      </c>
      <c r="W103" s="120" t="s">
        <v>752</v>
      </c>
      <c r="X103" s="120" t="s">
        <v>752</v>
      </c>
      <c r="Y103" s="120" t="s">
        <v>130</v>
      </c>
      <c r="Z103" s="120" t="s">
        <v>5</v>
      </c>
      <c r="AA103" s="120" t="s">
        <v>81</v>
      </c>
      <c r="AB103" s="120" t="s">
        <v>5</v>
      </c>
      <c r="AC103" s="120" t="s">
        <v>82</v>
      </c>
      <c r="AD103" s="120" t="s">
        <v>83</v>
      </c>
      <c r="AE103" s="120" t="s">
        <v>84</v>
      </c>
      <c r="AF103" s="120" t="s">
        <v>150</v>
      </c>
      <c r="AG103" s="133">
        <v>45000</v>
      </c>
      <c r="AH103" s="133">
        <v>45000</v>
      </c>
      <c r="AI103" s="133">
        <v>0</v>
      </c>
      <c r="AJ103" s="133">
        <v>0</v>
      </c>
      <c r="AK103" s="133">
        <v>27000</v>
      </c>
      <c r="AL103" s="120" t="s">
        <v>86</v>
      </c>
      <c r="AM103" s="120" t="s">
        <v>86</v>
      </c>
      <c r="AN103" s="120" t="s">
        <v>86</v>
      </c>
      <c r="AO103" s="120" t="s">
        <v>86</v>
      </c>
      <c r="AP103" s="120" t="s">
        <v>86</v>
      </c>
      <c r="AQ103" s="120" t="s">
        <v>87</v>
      </c>
      <c r="AR103" s="120" t="s">
        <v>88</v>
      </c>
      <c r="AS103" s="120" t="s">
        <v>89</v>
      </c>
      <c r="AT103" s="120" t="s">
        <v>89</v>
      </c>
      <c r="AU103" s="120" t="s">
        <v>147</v>
      </c>
      <c r="AV103" s="120" t="s">
        <v>13</v>
      </c>
      <c r="AW103" s="120" t="s">
        <v>92</v>
      </c>
      <c r="AX103" s="120" t="s">
        <v>781</v>
      </c>
      <c r="AY103" s="120">
        <v>0</v>
      </c>
      <c r="AZ103" s="120">
        <v>0</v>
      </c>
      <c r="BA103" s="120" t="s">
        <v>86</v>
      </c>
      <c r="BB103" s="134" t="s">
        <v>782</v>
      </c>
      <c r="BC103" s="120" t="s">
        <v>86</v>
      </c>
    </row>
    <row r="104" spans="1:55" ht="14.25" customHeight="1">
      <c r="A104" t="str">
        <f>IFERROR(VLOOKUP(AV104,Nómina!B:E,4,0),"")</f>
        <v>SERGIO RODRÍGUEZ</v>
      </c>
      <c r="B104" t="str">
        <f>IFERROR(VLOOKUP(A104,Nómina!E:F,2,0),"")</f>
        <v>27988098-6</v>
      </c>
      <c r="C104" s="30">
        <f t="shared" si="18"/>
        <v>22689</v>
      </c>
      <c r="D104" t="str">
        <f t="shared" si="19"/>
        <v>2026-07-10</v>
      </c>
      <c r="E104" t="str">
        <f t="shared" si="20"/>
        <v>B2C</v>
      </c>
      <c r="F104" t="str">
        <f t="shared" si="21"/>
        <v>Masaje</v>
      </c>
      <c r="G104" t="str">
        <f t="shared" si="22"/>
        <v>Pareja</v>
      </c>
      <c r="H104" t="str">
        <f t="shared" si="23"/>
        <v>60min</v>
      </c>
      <c r="I104" t="str">
        <f t="shared" si="24"/>
        <v>Tejido profundo</v>
      </c>
      <c r="J104" t="str">
        <f t="shared" si="25"/>
        <v>SAN MIGUEL</v>
      </c>
      <c r="K104" t="str">
        <f t="shared" si="26"/>
        <v>Ninguno</v>
      </c>
      <c r="L104">
        <f t="shared" si="27"/>
        <v>0</v>
      </c>
      <c r="M104">
        <f t="shared" si="28"/>
        <v>0</v>
      </c>
      <c r="N104" t="str">
        <f t="shared" si="29"/>
        <v/>
      </c>
      <c r="O104" s="10" t="str">
        <f>+VLOOKUP(Z104,listas!$B:$C,2,0)</f>
        <v>B2C</v>
      </c>
      <c r="P104" s="11">
        <f t="shared" si="17"/>
        <v>45000</v>
      </c>
      <c r="Q104" s="11">
        <f t="shared" si="30"/>
        <v>22689</v>
      </c>
      <c r="R104" s="59">
        <f t="shared" si="31"/>
        <v>7</v>
      </c>
      <c r="S104" s="59">
        <f t="shared" si="32"/>
        <v>10</v>
      </c>
      <c r="T104" s="11">
        <f t="shared" si="33"/>
        <v>1</v>
      </c>
      <c r="U104" s="120" t="s">
        <v>80</v>
      </c>
      <c r="V104" s="120" t="s">
        <v>783</v>
      </c>
      <c r="W104" s="120" t="s">
        <v>705</v>
      </c>
      <c r="X104" s="120" t="s">
        <v>752</v>
      </c>
      <c r="Y104" s="120" t="s">
        <v>650</v>
      </c>
      <c r="Z104" s="120" t="s">
        <v>98</v>
      </c>
      <c r="AA104" s="120" t="s">
        <v>99</v>
      </c>
      <c r="AB104" s="120" t="s">
        <v>4</v>
      </c>
      <c r="AC104" s="120" t="s">
        <v>82</v>
      </c>
      <c r="AD104" s="120" t="s">
        <v>119</v>
      </c>
      <c r="AE104" s="120" t="s">
        <v>84</v>
      </c>
      <c r="AF104" s="120" t="s">
        <v>123</v>
      </c>
      <c r="AG104" s="133">
        <v>45000</v>
      </c>
      <c r="AH104" s="133">
        <v>45000</v>
      </c>
      <c r="AI104" s="133">
        <v>0</v>
      </c>
      <c r="AJ104" s="133">
        <v>0</v>
      </c>
      <c r="AK104" s="133">
        <v>27000</v>
      </c>
      <c r="AL104" s="120" t="s">
        <v>86</v>
      </c>
      <c r="AM104" s="120" t="s">
        <v>86</v>
      </c>
      <c r="AN104" s="120" t="s">
        <v>86</v>
      </c>
      <c r="AO104" s="120" t="s">
        <v>86</v>
      </c>
      <c r="AP104" s="120" t="s">
        <v>86</v>
      </c>
      <c r="AQ104" s="120" t="s">
        <v>784</v>
      </c>
      <c r="AR104" s="120" t="s">
        <v>785</v>
      </c>
      <c r="AS104" s="120" t="s">
        <v>544</v>
      </c>
      <c r="AT104" s="120" t="s">
        <v>544</v>
      </c>
      <c r="AU104" s="120" t="s">
        <v>315</v>
      </c>
      <c r="AV104" s="120" t="s">
        <v>316</v>
      </c>
      <c r="AW104" s="120" t="s">
        <v>92</v>
      </c>
      <c r="AX104" s="120" t="s">
        <v>103</v>
      </c>
      <c r="AY104" s="120">
        <v>0</v>
      </c>
      <c r="AZ104" s="120">
        <v>0</v>
      </c>
      <c r="BA104" s="120" t="s">
        <v>86</v>
      </c>
      <c r="BB104" s="134" t="s">
        <v>786</v>
      </c>
      <c r="BC104" s="120" t="s">
        <v>86</v>
      </c>
    </row>
    <row r="105" spans="1:55" ht="14.25" customHeight="1">
      <c r="A105" t="str">
        <f>IFERROR(VLOOKUP(AV105,Nómina!B:E,4,0),"")</f>
        <v>JOSE IGNACIO PALMA CASANOVA</v>
      </c>
      <c r="B105" t="str">
        <f>IFERROR(VLOOKUP(A105,Nómina!E:F,2,0),"")</f>
        <v>19232974-4</v>
      </c>
      <c r="C105" s="30">
        <f t="shared" si="18"/>
        <v>22689</v>
      </c>
      <c r="D105" t="str">
        <f t="shared" si="19"/>
        <v>2026-07-10</v>
      </c>
      <c r="E105" t="str">
        <f t="shared" si="20"/>
        <v>B2C</v>
      </c>
      <c r="F105" t="str">
        <f t="shared" si="21"/>
        <v>Masaje</v>
      </c>
      <c r="G105" t="str">
        <f t="shared" si="22"/>
        <v>Pareja</v>
      </c>
      <c r="H105" t="str">
        <f t="shared" si="23"/>
        <v>60min</v>
      </c>
      <c r="I105" t="str">
        <f t="shared" si="24"/>
        <v>Tejido profundo</v>
      </c>
      <c r="J105" t="str">
        <f t="shared" si="25"/>
        <v>SAN MIGUEL</v>
      </c>
      <c r="K105" t="str">
        <f t="shared" si="26"/>
        <v>Ninguno</v>
      </c>
      <c r="L105">
        <f t="shared" si="27"/>
        <v>0</v>
      </c>
      <c r="M105">
        <f t="shared" si="28"/>
        <v>0</v>
      </c>
      <c r="N105" t="str">
        <f t="shared" si="29"/>
        <v/>
      </c>
      <c r="O105" s="10" t="str">
        <f>+VLOOKUP(Z105,listas!$B:$C,2,0)</f>
        <v>B2C</v>
      </c>
      <c r="P105" s="11">
        <f t="shared" si="17"/>
        <v>45000</v>
      </c>
      <c r="Q105" s="11">
        <f t="shared" si="30"/>
        <v>22689</v>
      </c>
      <c r="R105" s="59">
        <f t="shared" si="31"/>
        <v>7</v>
      </c>
      <c r="S105" s="59">
        <f t="shared" si="32"/>
        <v>10</v>
      </c>
      <c r="T105" s="11">
        <f t="shared" si="33"/>
        <v>1</v>
      </c>
      <c r="U105" s="120" t="s">
        <v>80</v>
      </c>
      <c r="V105" s="120" t="s">
        <v>783</v>
      </c>
      <c r="W105" s="120" t="s">
        <v>705</v>
      </c>
      <c r="X105" s="120" t="s">
        <v>752</v>
      </c>
      <c r="Y105" s="120" t="s">
        <v>650</v>
      </c>
      <c r="Z105" s="120" t="s">
        <v>98</v>
      </c>
      <c r="AA105" s="120" t="s">
        <v>99</v>
      </c>
      <c r="AB105" s="120" t="s">
        <v>4</v>
      </c>
      <c r="AC105" s="120" t="s">
        <v>82</v>
      </c>
      <c r="AD105" s="120" t="s">
        <v>119</v>
      </c>
      <c r="AE105" s="120" t="s">
        <v>84</v>
      </c>
      <c r="AF105" s="120" t="s">
        <v>123</v>
      </c>
      <c r="AG105" s="133">
        <v>45000</v>
      </c>
      <c r="AH105" s="133">
        <v>45000</v>
      </c>
      <c r="AI105" s="133">
        <v>0</v>
      </c>
      <c r="AJ105" s="133">
        <v>0</v>
      </c>
      <c r="AK105" s="133">
        <v>27000</v>
      </c>
      <c r="AL105" s="120" t="s">
        <v>86</v>
      </c>
      <c r="AM105" s="120" t="s">
        <v>86</v>
      </c>
      <c r="AN105" s="120" t="s">
        <v>86</v>
      </c>
      <c r="AO105" s="120" t="s">
        <v>86</v>
      </c>
      <c r="AP105" s="120" t="s">
        <v>86</v>
      </c>
      <c r="AQ105" s="120" t="s">
        <v>784</v>
      </c>
      <c r="AR105" s="120" t="s">
        <v>785</v>
      </c>
      <c r="AS105" s="120" t="s">
        <v>544</v>
      </c>
      <c r="AT105" s="120" t="s">
        <v>544</v>
      </c>
      <c r="AU105" s="120" t="s">
        <v>158</v>
      </c>
      <c r="AV105" s="120" t="s">
        <v>282</v>
      </c>
      <c r="AW105" s="120" t="s">
        <v>92</v>
      </c>
      <c r="AX105" s="120" t="s">
        <v>103</v>
      </c>
      <c r="AY105" s="120">
        <v>0</v>
      </c>
      <c r="AZ105" s="120">
        <v>0</v>
      </c>
      <c r="BA105" s="120" t="s">
        <v>86</v>
      </c>
      <c r="BB105" s="134" t="s">
        <v>786</v>
      </c>
      <c r="BC105" s="120" t="s">
        <v>86</v>
      </c>
    </row>
    <row r="106" spans="1:55" ht="14.25" customHeight="1">
      <c r="A106" t="str">
        <f>IFERROR(VLOOKUP(AV106,Nómina!B:E,4,0),"")</f>
        <v>SERGIO RODRÍGUEZ</v>
      </c>
      <c r="B106" t="str">
        <f>IFERROR(VLOOKUP(A106,Nómina!E:F,2,0),"")</f>
        <v>27988098-6</v>
      </c>
      <c r="C106" s="30">
        <f t="shared" si="18"/>
        <v>22689</v>
      </c>
      <c r="D106" t="str">
        <f t="shared" si="19"/>
        <v>2026-07-11</v>
      </c>
      <c r="E106" t="str">
        <f t="shared" si="20"/>
        <v>HOTEL</v>
      </c>
      <c r="F106" t="str">
        <f t="shared" si="21"/>
        <v>Masaje</v>
      </c>
      <c r="G106" t="str">
        <f t="shared" si="22"/>
        <v>Pareja</v>
      </c>
      <c r="H106" t="str">
        <f t="shared" si="23"/>
        <v>60min</v>
      </c>
      <c r="I106" t="str">
        <f t="shared" si="24"/>
        <v>Tejido profundo</v>
      </c>
      <c r="J106" t="str">
        <f t="shared" si="25"/>
        <v>VITACURA</v>
      </c>
      <c r="K106" t="str">
        <f t="shared" si="26"/>
        <v>Huésped: Margarita Hamwee. Hab: 302.</v>
      </c>
      <c r="L106">
        <f t="shared" si="27"/>
        <v>0</v>
      </c>
      <c r="M106">
        <f t="shared" si="28"/>
        <v>0</v>
      </c>
      <c r="N106" t="str">
        <f t="shared" si="29"/>
        <v/>
      </c>
      <c r="O106" s="10" t="str">
        <f>+VLOOKUP(Z106,listas!$B:$C,2,0)</f>
        <v>HOTEL</v>
      </c>
      <c r="P106" s="11">
        <f t="shared" si="17"/>
        <v>45000</v>
      </c>
      <c r="Q106" s="11">
        <f t="shared" si="30"/>
        <v>22689</v>
      </c>
      <c r="R106" s="59">
        <f t="shared" si="31"/>
        <v>7</v>
      </c>
      <c r="S106" s="59">
        <f t="shared" si="32"/>
        <v>11</v>
      </c>
      <c r="T106" s="11">
        <f t="shared" si="33"/>
        <v>1</v>
      </c>
      <c r="U106" s="120" t="s">
        <v>80</v>
      </c>
      <c r="V106" s="120" t="s">
        <v>787</v>
      </c>
      <c r="W106" s="120" t="s">
        <v>752</v>
      </c>
      <c r="X106" s="120" t="s">
        <v>788</v>
      </c>
      <c r="Y106" s="120" t="s">
        <v>554</v>
      </c>
      <c r="Z106" s="120" t="s">
        <v>5</v>
      </c>
      <c r="AA106" s="120" t="s">
        <v>81</v>
      </c>
      <c r="AB106" s="120" t="s">
        <v>5</v>
      </c>
      <c r="AC106" s="120" t="s">
        <v>82</v>
      </c>
      <c r="AD106" s="120" t="s">
        <v>119</v>
      </c>
      <c r="AE106" s="120" t="s">
        <v>84</v>
      </c>
      <c r="AF106" s="120" t="s">
        <v>123</v>
      </c>
      <c r="AG106" s="133">
        <v>45000</v>
      </c>
      <c r="AH106" s="133">
        <v>45000</v>
      </c>
      <c r="AI106" s="133">
        <v>0</v>
      </c>
      <c r="AJ106" s="133">
        <v>0</v>
      </c>
      <c r="AK106" s="133">
        <v>27000</v>
      </c>
      <c r="AL106" s="120" t="s">
        <v>86</v>
      </c>
      <c r="AM106" s="120" t="s">
        <v>86</v>
      </c>
      <c r="AN106" s="120" t="s">
        <v>86</v>
      </c>
      <c r="AO106" s="120" t="s">
        <v>86</v>
      </c>
      <c r="AP106" s="120" t="s">
        <v>86</v>
      </c>
      <c r="AQ106" s="120" t="s">
        <v>599</v>
      </c>
      <c r="AR106" s="120" t="s">
        <v>600</v>
      </c>
      <c r="AS106" s="120" t="s">
        <v>115</v>
      </c>
      <c r="AT106" s="120" t="s">
        <v>115</v>
      </c>
      <c r="AU106" s="120" t="s">
        <v>315</v>
      </c>
      <c r="AV106" s="120" t="s">
        <v>316</v>
      </c>
      <c r="AW106" s="120" t="s">
        <v>92</v>
      </c>
      <c r="AX106" s="120" t="s">
        <v>789</v>
      </c>
      <c r="AY106" s="120">
        <v>0</v>
      </c>
      <c r="AZ106" s="120">
        <v>0</v>
      </c>
      <c r="BA106" s="120" t="s">
        <v>86</v>
      </c>
      <c r="BB106" s="134" t="s">
        <v>790</v>
      </c>
      <c r="BC106" s="120" t="s">
        <v>86</v>
      </c>
    </row>
    <row r="107" spans="1:55" ht="14.25" customHeight="1">
      <c r="A107" t="str">
        <f>IFERROR(VLOOKUP(AV107,Nómina!B:E,4,0),"")</f>
        <v>GENESIS VALENTINA SALAZAR GUEVARA</v>
      </c>
      <c r="B107" t="str">
        <f>IFERROR(VLOOKUP(A107,Nómina!E:F,2,0),"")</f>
        <v>27828546-4</v>
      </c>
      <c r="C107" s="30">
        <f t="shared" si="18"/>
        <v>22689</v>
      </c>
      <c r="D107" t="str">
        <f t="shared" si="19"/>
        <v>2026-07-11</v>
      </c>
      <c r="E107" t="str">
        <f t="shared" si="20"/>
        <v>HOTEL</v>
      </c>
      <c r="F107" t="str">
        <f t="shared" si="21"/>
        <v>Masaje</v>
      </c>
      <c r="G107" t="str">
        <f t="shared" si="22"/>
        <v>Pareja</v>
      </c>
      <c r="H107" t="str">
        <f t="shared" si="23"/>
        <v>60min</v>
      </c>
      <c r="I107" t="str">
        <f t="shared" si="24"/>
        <v>Tejido profundo</v>
      </c>
      <c r="J107" t="str">
        <f t="shared" si="25"/>
        <v>VITACURA</v>
      </c>
      <c r="K107" t="str">
        <f t="shared" si="26"/>
        <v>Huésped: Margarita Hamwee. Hab: 302.</v>
      </c>
      <c r="L107">
        <f t="shared" si="27"/>
        <v>0</v>
      </c>
      <c r="M107">
        <f t="shared" si="28"/>
        <v>0</v>
      </c>
      <c r="N107" t="str">
        <f t="shared" si="29"/>
        <v/>
      </c>
      <c r="O107" s="10" t="str">
        <f>+VLOOKUP(Z107,listas!$B:$C,2,0)</f>
        <v>HOTEL</v>
      </c>
      <c r="P107" s="11">
        <f t="shared" si="17"/>
        <v>45000</v>
      </c>
      <c r="Q107" s="11">
        <f t="shared" si="30"/>
        <v>22689</v>
      </c>
      <c r="R107" s="59">
        <f t="shared" si="31"/>
        <v>7</v>
      </c>
      <c r="S107" s="59">
        <f t="shared" si="32"/>
        <v>11</v>
      </c>
      <c r="T107" s="11">
        <f t="shared" si="33"/>
        <v>1</v>
      </c>
      <c r="U107" s="120" t="s">
        <v>80</v>
      </c>
      <c r="V107" s="120" t="s">
        <v>787</v>
      </c>
      <c r="W107" s="120" t="s">
        <v>752</v>
      </c>
      <c r="X107" s="120" t="s">
        <v>788</v>
      </c>
      <c r="Y107" s="120" t="s">
        <v>554</v>
      </c>
      <c r="Z107" s="120" t="s">
        <v>5</v>
      </c>
      <c r="AA107" s="120" t="s">
        <v>81</v>
      </c>
      <c r="AB107" s="120" t="s">
        <v>5</v>
      </c>
      <c r="AC107" s="120" t="s">
        <v>82</v>
      </c>
      <c r="AD107" s="120" t="s">
        <v>119</v>
      </c>
      <c r="AE107" s="120" t="s">
        <v>84</v>
      </c>
      <c r="AF107" s="120" t="s">
        <v>123</v>
      </c>
      <c r="AG107" s="133">
        <v>45000</v>
      </c>
      <c r="AH107" s="133">
        <v>45000</v>
      </c>
      <c r="AI107" s="133">
        <v>0</v>
      </c>
      <c r="AJ107" s="133">
        <v>0</v>
      </c>
      <c r="AK107" s="133">
        <v>27000</v>
      </c>
      <c r="AL107" s="120" t="s">
        <v>86</v>
      </c>
      <c r="AM107" s="120" t="s">
        <v>86</v>
      </c>
      <c r="AN107" s="120" t="s">
        <v>86</v>
      </c>
      <c r="AO107" s="120" t="s">
        <v>86</v>
      </c>
      <c r="AP107" s="120" t="s">
        <v>86</v>
      </c>
      <c r="AQ107" s="120" t="s">
        <v>599</v>
      </c>
      <c r="AR107" s="120" t="s">
        <v>600</v>
      </c>
      <c r="AS107" s="120" t="s">
        <v>115</v>
      </c>
      <c r="AT107" s="120" t="s">
        <v>115</v>
      </c>
      <c r="AU107" s="120" t="s">
        <v>109</v>
      </c>
      <c r="AV107" s="120" t="s">
        <v>549</v>
      </c>
      <c r="AW107" s="120" t="s">
        <v>92</v>
      </c>
      <c r="AX107" s="120" t="s">
        <v>789</v>
      </c>
      <c r="AY107" s="120">
        <v>0</v>
      </c>
      <c r="AZ107" s="120">
        <v>0</v>
      </c>
      <c r="BA107" s="120" t="s">
        <v>86</v>
      </c>
      <c r="BB107" s="134" t="s">
        <v>790</v>
      </c>
      <c r="BC107" s="120" t="s">
        <v>86</v>
      </c>
    </row>
    <row r="108" spans="1:55" ht="14.25" customHeight="1">
      <c r="A108" t="str">
        <f>IFERROR(VLOOKUP(AV108,Nómina!B:E,4,0),"")</f>
        <v>SERGIO RODRÍGUEZ</v>
      </c>
      <c r="B108" t="str">
        <f>IFERROR(VLOOKUP(A108,Nómina!E:F,2,0),"")</f>
        <v>27988098-6</v>
      </c>
      <c r="C108" s="30">
        <f t="shared" si="18"/>
        <v>5042</v>
      </c>
      <c r="D108" t="str">
        <f t="shared" si="19"/>
        <v>2026-07-11</v>
      </c>
      <c r="E108" t="str">
        <f t="shared" si="20"/>
        <v>HOTEL</v>
      </c>
      <c r="F108" t="str">
        <f t="shared" si="21"/>
        <v>Addon</v>
      </c>
      <c r="G108" t="str">
        <f t="shared" si="22"/>
        <v>Pareja</v>
      </c>
      <c r="H108" t="str">
        <f t="shared" si="23"/>
        <v>15min</v>
      </c>
      <c r="I108" t="str">
        <f t="shared" si="24"/>
        <v>Reflexología</v>
      </c>
      <c r="J108" t="str">
        <f t="shared" si="25"/>
        <v>VITACURA</v>
      </c>
      <c r="K108" t="str">
        <f t="shared" si="26"/>
        <v>Huésped: Margarita Hamwee. Hab: 302.</v>
      </c>
      <c r="L108">
        <f t="shared" si="27"/>
        <v>0</v>
      </c>
      <c r="M108">
        <f t="shared" si="28"/>
        <v>0</v>
      </c>
      <c r="N108" t="str">
        <f t="shared" si="29"/>
        <v/>
      </c>
      <c r="O108" s="10" t="str">
        <f>+VLOOKUP(Z108,listas!$B:$C,2,0)</f>
        <v>HOTEL</v>
      </c>
      <c r="P108" s="11">
        <f t="shared" si="17"/>
        <v>10000</v>
      </c>
      <c r="Q108" s="11">
        <f t="shared" si="30"/>
        <v>5042</v>
      </c>
      <c r="R108" s="59">
        <f t="shared" si="31"/>
        <v>7</v>
      </c>
      <c r="S108" s="59">
        <f t="shared" si="32"/>
        <v>11</v>
      </c>
      <c r="T108" s="11">
        <f t="shared" si="33"/>
        <v>1</v>
      </c>
      <c r="U108" s="135" t="s">
        <v>80</v>
      </c>
      <c r="V108" s="135" t="s">
        <v>787</v>
      </c>
      <c r="W108" s="135" t="s">
        <v>752</v>
      </c>
      <c r="X108" s="135" t="s">
        <v>788</v>
      </c>
      <c r="Y108" s="135" t="s">
        <v>554</v>
      </c>
      <c r="Z108" s="135" t="s">
        <v>5</v>
      </c>
      <c r="AA108" s="135" t="s">
        <v>81</v>
      </c>
      <c r="AB108" s="135" t="s">
        <v>5</v>
      </c>
      <c r="AC108" s="135" t="s">
        <v>93</v>
      </c>
      <c r="AD108" s="135" t="s">
        <v>119</v>
      </c>
      <c r="AE108" s="135" t="s">
        <v>94</v>
      </c>
      <c r="AF108" s="135" t="s">
        <v>95</v>
      </c>
      <c r="AG108" s="136">
        <v>10000</v>
      </c>
      <c r="AH108" s="136">
        <v>10000</v>
      </c>
      <c r="AI108" s="136">
        <v>0</v>
      </c>
      <c r="AJ108" s="136">
        <v>0</v>
      </c>
      <c r="AK108" s="136">
        <v>6000</v>
      </c>
      <c r="AL108" s="135" t="s">
        <v>86</v>
      </c>
      <c r="AM108" s="135" t="s">
        <v>86</v>
      </c>
      <c r="AN108" s="135" t="s">
        <v>86</v>
      </c>
      <c r="AO108" s="135" t="s">
        <v>86</v>
      </c>
      <c r="AP108" s="135" t="s">
        <v>86</v>
      </c>
      <c r="AQ108" s="135" t="s">
        <v>599</v>
      </c>
      <c r="AR108" s="135" t="s">
        <v>600</v>
      </c>
      <c r="AS108" s="135" t="s">
        <v>115</v>
      </c>
      <c r="AT108" s="135" t="s">
        <v>115</v>
      </c>
      <c r="AU108" s="135" t="s">
        <v>315</v>
      </c>
      <c r="AV108" s="135" t="s">
        <v>316</v>
      </c>
      <c r="AW108" s="135" t="s">
        <v>92</v>
      </c>
      <c r="AX108" s="135" t="s">
        <v>789</v>
      </c>
      <c r="AY108" s="135">
        <v>0</v>
      </c>
      <c r="AZ108" s="135">
        <v>0</v>
      </c>
      <c r="BA108" s="135" t="s">
        <v>86</v>
      </c>
      <c r="BB108" s="137" t="s">
        <v>790</v>
      </c>
      <c r="BC108" s="135" t="s">
        <v>86</v>
      </c>
    </row>
    <row r="109" spans="1:55" ht="14.25" customHeight="1">
      <c r="A109" t="str">
        <f>IFERROR(VLOOKUP(AV109,Nómina!B:E,4,0),"")</f>
        <v>GENESIS VALENTINA SALAZAR GUEVARA</v>
      </c>
      <c r="B109" t="str">
        <f>IFERROR(VLOOKUP(A109,Nómina!E:F,2,0),"")</f>
        <v>27828546-4</v>
      </c>
      <c r="C109" s="30">
        <f t="shared" si="18"/>
        <v>5042</v>
      </c>
      <c r="D109" t="str">
        <f t="shared" si="19"/>
        <v>2026-07-11</v>
      </c>
      <c r="E109" t="str">
        <f t="shared" si="20"/>
        <v>HOTEL</v>
      </c>
      <c r="F109" t="str">
        <f t="shared" si="21"/>
        <v>Addon</v>
      </c>
      <c r="G109" t="str">
        <f t="shared" si="22"/>
        <v>Pareja</v>
      </c>
      <c r="H109" t="str">
        <f t="shared" si="23"/>
        <v>15min</v>
      </c>
      <c r="I109" t="str">
        <f t="shared" si="24"/>
        <v>Reflexología</v>
      </c>
      <c r="J109" t="str">
        <f t="shared" si="25"/>
        <v>VITACURA</v>
      </c>
      <c r="K109" t="str">
        <f t="shared" si="26"/>
        <v>Huésped: Margarita Hamwee. Hab: 302.</v>
      </c>
      <c r="L109">
        <f t="shared" si="27"/>
        <v>0</v>
      </c>
      <c r="M109">
        <f t="shared" si="28"/>
        <v>0</v>
      </c>
      <c r="N109" t="str">
        <f t="shared" si="29"/>
        <v/>
      </c>
      <c r="O109" s="10" t="str">
        <f>+VLOOKUP(Z109,listas!$B:$C,2,0)</f>
        <v>HOTEL</v>
      </c>
      <c r="P109" s="11">
        <f t="shared" si="17"/>
        <v>10000</v>
      </c>
      <c r="Q109" s="11">
        <f t="shared" si="30"/>
        <v>5042</v>
      </c>
      <c r="R109" s="59">
        <f t="shared" si="31"/>
        <v>7</v>
      </c>
      <c r="S109" s="59">
        <f t="shared" si="32"/>
        <v>11</v>
      </c>
      <c r="T109" s="11">
        <f t="shared" si="33"/>
        <v>1</v>
      </c>
      <c r="U109" s="135" t="s">
        <v>80</v>
      </c>
      <c r="V109" s="135" t="s">
        <v>787</v>
      </c>
      <c r="W109" s="135" t="s">
        <v>752</v>
      </c>
      <c r="X109" s="135" t="s">
        <v>788</v>
      </c>
      <c r="Y109" s="135" t="s">
        <v>554</v>
      </c>
      <c r="Z109" s="135" t="s">
        <v>5</v>
      </c>
      <c r="AA109" s="135" t="s">
        <v>81</v>
      </c>
      <c r="AB109" s="135" t="s">
        <v>5</v>
      </c>
      <c r="AC109" s="135" t="s">
        <v>93</v>
      </c>
      <c r="AD109" s="135" t="s">
        <v>119</v>
      </c>
      <c r="AE109" s="135" t="s">
        <v>94</v>
      </c>
      <c r="AF109" s="135" t="s">
        <v>95</v>
      </c>
      <c r="AG109" s="136">
        <v>10000</v>
      </c>
      <c r="AH109" s="136">
        <v>10000</v>
      </c>
      <c r="AI109" s="136">
        <v>0</v>
      </c>
      <c r="AJ109" s="136">
        <v>0</v>
      </c>
      <c r="AK109" s="136">
        <v>6000</v>
      </c>
      <c r="AL109" s="135" t="s">
        <v>86</v>
      </c>
      <c r="AM109" s="135" t="s">
        <v>86</v>
      </c>
      <c r="AN109" s="135" t="s">
        <v>86</v>
      </c>
      <c r="AO109" s="135" t="s">
        <v>86</v>
      </c>
      <c r="AP109" s="135" t="s">
        <v>86</v>
      </c>
      <c r="AQ109" s="135" t="s">
        <v>599</v>
      </c>
      <c r="AR109" s="135" t="s">
        <v>600</v>
      </c>
      <c r="AS109" s="135" t="s">
        <v>115</v>
      </c>
      <c r="AT109" s="135" t="s">
        <v>115</v>
      </c>
      <c r="AU109" s="135" t="s">
        <v>109</v>
      </c>
      <c r="AV109" s="135" t="s">
        <v>549</v>
      </c>
      <c r="AW109" s="135" t="s">
        <v>92</v>
      </c>
      <c r="AX109" s="135" t="s">
        <v>789</v>
      </c>
      <c r="AY109" s="135">
        <v>0</v>
      </c>
      <c r="AZ109" s="135">
        <v>0</v>
      </c>
      <c r="BA109" s="135" t="s">
        <v>86</v>
      </c>
      <c r="BB109" s="137" t="s">
        <v>790</v>
      </c>
      <c r="BC109" s="135" t="s">
        <v>86</v>
      </c>
    </row>
    <row r="110" spans="1:55" ht="14.25" customHeight="1">
      <c r="A110" t="str">
        <f>IFERROR(VLOOKUP(AV110,Nómina!B:E,4,0),"")</f>
        <v>PAMELA VERONICA CID NAVIA  </v>
      </c>
      <c r="B110" t="str">
        <f>IFERROR(VLOOKUP(A110,Nómina!E:F,2,0),"")</f>
        <v>8008360-2</v>
      </c>
      <c r="C110" s="30">
        <f t="shared" si="18"/>
        <v>22689</v>
      </c>
      <c r="D110" t="str">
        <f t="shared" si="19"/>
        <v>2026-07-11</v>
      </c>
      <c r="E110" t="str">
        <f t="shared" si="20"/>
        <v>B2C</v>
      </c>
      <c r="F110" t="str">
        <f t="shared" si="21"/>
        <v>Masaje</v>
      </c>
      <c r="G110" t="str">
        <f t="shared" si="22"/>
        <v>Individual</v>
      </c>
      <c r="H110" t="str">
        <f t="shared" si="23"/>
        <v>60min</v>
      </c>
      <c r="I110" t="str">
        <f t="shared" si="24"/>
        <v>Tejido profundo</v>
      </c>
      <c r="J110" t="str">
        <f t="shared" si="25"/>
        <v>LAS CONDES</v>
      </c>
      <c r="K110" t="str">
        <f t="shared" si="26"/>
        <v>Ninguno</v>
      </c>
      <c r="L110">
        <f t="shared" si="27"/>
        <v>0</v>
      </c>
      <c r="M110">
        <f t="shared" si="28"/>
        <v>0</v>
      </c>
      <c r="N110" t="str">
        <f t="shared" si="29"/>
        <v/>
      </c>
      <c r="O110" s="10" t="str">
        <f>+VLOOKUP(Z110,listas!$B:$C,2,0)</f>
        <v>B2C</v>
      </c>
      <c r="P110" s="11">
        <f t="shared" si="17"/>
        <v>45000</v>
      </c>
      <c r="Q110" s="11">
        <f t="shared" si="30"/>
        <v>22689</v>
      </c>
      <c r="R110" s="59">
        <f t="shared" si="31"/>
        <v>7</v>
      </c>
      <c r="S110" s="59">
        <f t="shared" si="32"/>
        <v>11</v>
      </c>
      <c r="T110" s="11">
        <f t="shared" si="33"/>
        <v>1</v>
      </c>
      <c r="U110" s="120" t="s">
        <v>80</v>
      </c>
      <c r="V110" s="120" t="s">
        <v>791</v>
      </c>
      <c r="W110" s="120" t="s">
        <v>788</v>
      </c>
      <c r="X110" s="120" t="s">
        <v>788</v>
      </c>
      <c r="Y110" s="120" t="s">
        <v>107</v>
      </c>
      <c r="Z110" s="120" t="s">
        <v>98</v>
      </c>
      <c r="AA110" s="120" t="s">
        <v>99</v>
      </c>
      <c r="AB110" s="120" t="s">
        <v>4</v>
      </c>
      <c r="AC110" s="120" t="s">
        <v>82</v>
      </c>
      <c r="AD110" s="120" t="s">
        <v>83</v>
      </c>
      <c r="AE110" s="120" t="s">
        <v>84</v>
      </c>
      <c r="AF110" s="120" t="s">
        <v>123</v>
      </c>
      <c r="AG110" s="133">
        <v>45000</v>
      </c>
      <c r="AH110" s="133">
        <v>45000</v>
      </c>
      <c r="AI110" s="133">
        <v>0</v>
      </c>
      <c r="AJ110" s="133">
        <v>0</v>
      </c>
      <c r="AK110" s="133">
        <v>27000</v>
      </c>
      <c r="AL110" s="120" t="s">
        <v>86</v>
      </c>
      <c r="AM110" s="120" t="s">
        <v>86</v>
      </c>
      <c r="AN110" s="120" t="s">
        <v>86</v>
      </c>
      <c r="AO110" s="120" t="s">
        <v>86</v>
      </c>
      <c r="AP110" s="120" t="s">
        <v>86</v>
      </c>
      <c r="AQ110" s="120" t="s">
        <v>792</v>
      </c>
      <c r="AR110" s="120" t="s">
        <v>793</v>
      </c>
      <c r="AS110" s="120" t="s">
        <v>89</v>
      </c>
      <c r="AT110" s="120" t="s">
        <v>89</v>
      </c>
      <c r="AU110" s="120" t="s">
        <v>144</v>
      </c>
      <c r="AV110" s="120" t="s">
        <v>19</v>
      </c>
      <c r="AW110" s="120" t="s">
        <v>92</v>
      </c>
      <c r="AX110" s="120" t="s">
        <v>103</v>
      </c>
      <c r="AY110" s="120">
        <v>0</v>
      </c>
      <c r="AZ110" s="120">
        <v>0</v>
      </c>
      <c r="BA110" s="120" t="s">
        <v>86</v>
      </c>
      <c r="BB110" s="134" t="s">
        <v>794</v>
      </c>
      <c r="BC110" s="120" t="s">
        <v>86</v>
      </c>
    </row>
    <row r="111" spans="1:55" ht="14.25" customHeight="1">
      <c r="A111" t="str">
        <f>IFERROR(VLOOKUP(AV111,Nómina!B:E,4,0),"")</f>
        <v>PAMELA VERONICA CID NAVIA  </v>
      </c>
      <c r="B111" t="str">
        <f>IFERROR(VLOOKUP(A111,Nómina!E:F,2,0),"")</f>
        <v>8008360-2</v>
      </c>
      <c r="C111" s="30">
        <f t="shared" si="18"/>
        <v>2521</v>
      </c>
      <c r="D111" t="str">
        <f t="shared" si="19"/>
        <v>2026-07-11</v>
      </c>
      <c r="E111" t="str">
        <f t="shared" si="20"/>
        <v>B2C</v>
      </c>
      <c r="F111" t="str">
        <f t="shared" si="21"/>
        <v>Extra</v>
      </c>
      <c r="G111" t="str">
        <f t="shared" si="22"/>
        <v>Individual</v>
      </c>
      <c r="H111" t="str">
        <f t="shared" si="23"/>
        <v>-</v>
      </c>
      <c r="I111" t="str">
        <f t="shared" si="24"/>
        <v>Extra por festivo o fin de semana</v>
      </c>
      <c r="J111" t="str">
        <f t="shared" si="25"/>
        <v>LAS CONDES</v>
      </c>
      <c r="K111" t="str">
        <f t="shared" si="26"/>
        <v>Ninguno</v>
      </c>
      <c r="L111">
        <f t="shared" si="27"/>
        <v>0</v>
      </c>
      <c r="M111">
        <f t="shared" si="28"/>
        <v>0</v>
      </c>
      <c r="N111" t="str">
        <f t="shared" si="29"/>
        <v/>
      </c>
      <c r="O111" s="10" t="str">
        <f>+VLOOKUP(Z111,listas!$B:$C,2,0)</f>
        <v>B2C</v>
      </c>
      <c r="P111" s="11">
        <f t="shared" si="17"/>
        <v>5000</v>
      </c>
      <c r="Q111" s="11">
        <f t="shared" si="30"/>
        <v>2521</v>
      </c>
      <c r="R111" s="59">
        <f t="shared" si="31"/>
        <v>7</v>
      </c>
      <c r="S111" s="59">
        <f t="shared" si="32"/>
        <v>11</v>
      </c>
      <c r="T111" s="11">
        <f t="shared" si="33"/>
        <v>1</v>
      </c>
      <c r="U111" s="138" t="s">
        <v>80</v>
      </c>
      <c r="V111" s="138" t="s">
        <v>791</v>
      </c>
      <c r="W111" s="138" t="s">
        <v>788</v>
      </c>
      <c r="X111" s="138" t="s">
        <v>788</v>
      </c>
      <c r="Y111" s="138" t="s">
        <v>107</v>
      </c>
      <c r="Z111" s="138" t="s">
        <v>98</v>
      </c>
      <c r="AA111" s="138" t="s">
        <v>99</v>
      </c>
      <c r="AB111" s="138" t="s">
        <v>4</v>
      </c>
      <c r="AC111" s="138" t="s">
        <v>104</v>
      </c>
      <c r="AD111" s="138" t="s">
        <v>83</v>
      </c>
      <c r="AE111" s="138" t="s">
        <v>105</v>
      </c>
      <c r="AF111" s="138" t="s">
        <v>438</v>
      </c>
      <c r="AG111" s="139">
        <v>5000</v>
      </c>
      <c r="AH111" s="139">
        <v>5000</v>
      </c>
      <c r="AI111" s="139">
        <v>0</v>
      </c>
      <c r="AJ111" s="139">
        <v>0</v>
      </c>
      <c r="AK111" s="139">
        <v>5000</v>
      </c>
      <c r="AL111" s="138" t="s">
        <v>86</v>
      </c>
      <c r="AM111" s="138" t="s">
        <v>86</v>
      </c>
      <c r="AN111" s="138" t="s">
        <v>86</v>
      </c>
      <c r="AO111" s="138" t="s">
        <v>86</v>
      </c>
      <c r="AP111" s="138" t="s">
        <v>86</v>
      </c>
      <c r="AQ111" s="138" t="s">
        <v>792</v>
      </c>
      <c r="AR111" s="138" t="s">
        <v>793</v>
      </c>
      <c r="AS111" s="138" t="s">
        <v>89</v>
      </c>
      <c r="AT111" s="138" t="s">
        <v>89</v>
      </c>
      <c r="AU111" s="138" t="s">
        <v>144</v>
      </c>
      <c r="AV111" s="138" t="s">
        <v>19</v>
      </c>
      <c r="AW111" s="138" t="s">
        <v>92</v>
      </c>
      <c r="AX111" s="138" t="s">
        <v>103</v>
      </c>
      <c r="AY111" s="138">
        <v>0</v>
      </c>
      <c r="AZ111" s="138">
        <v>0</v>
      </c>
      <c r="BA111" s="138" t="s">
        <v>86</v>
      </c>
      <c r="BB111" s="140" t="s">
        <v>794</v>
      </c>
      <c r="BC111" s="138" t="s">
        <v>86</v>
      </c>
    </row>
    <row r="112" spans="1:55" ht="14.25" customHeight="1">
      <c r="A112" t="str">
        <f>IFERROR(VLOOKUP(AV112,Nómina!B:E,4,0),"")</f>
        <v>SERGIO RODRÍGUEZ</v>
      </c>
      <c r="B112" t="str">
        <f>IFERROR(VLOOKUP(A112,Nómina!E:F,2,0),"")</f>
        <v>27988098-6</v>
      </c>
      <c r="C112" s="30">
        <f t="shared" si="18"/>
        <v>22689</v>
      </c>
      <c r="D112" t="str">
        <f t="shared" si="19"/>
        <v>2026-07-11</v>
      </c>
      <c r="E112" t="str">
        <f t="shared" si="20"/>
        <v>HOTEL</v>
      </c>
      <c r="F112" t="str">
        <f t="shared" si="21"/>
        <v>Masaje</v>
      </c>
      <c r="G112" t="str">
        <f t="shared" si="22"/>
        <v>Pareja</v>
      </c>
      <c r="H112" t="str">
        <f t="shared" si="23"/>
        <v>60min</v>
      </c>
      <c r="I112" t="str">
        <f t="shared" si="24"/>
        <v>Relajante</v>
      </c>
      <c r="J112" t="str">
        <f t="shared" si="25"/>
        <v>LAS CONDES</v>
      </c>
      <c r="K112" t="str">
        <f t="shared" si="26"/>
        <v>Huésped: Bolivar Bilhalva. Hab: 1008. Solicita: Adeleyn Arancibia</v>
      </c>
      <c r="L112">
        <f t="shared" si="27"/>
        <v>0</v>
      </c>
      <c r="M112">
        <f t="shared" si="28"/>
        <v>0</v>
      </c>
      <c r="N112" t="str">
        <f t="shared" si="29"/>
        <v/>
      </c>
      <c r="O112" s="10" t="str">
        <f>+VLOOKUP(Z112,listas!$B:$C,2,0)</f>
        <v>HOTEL</v>
      </c>
      <c r="P112" s="11">
        <f t="shared" si="17"/>
        <v>45000</v>
      </c>
      <c r="Q112" s="11">
        <f t="shared" si="30"/>
        <v>22689</v>
      </c>
      <c r="R112" s="59">
        <f t="shared" si="31"/>
        <v>7</v>
      </c>
      <c r="S112" s="59">
        <f t="shared" si="32"/>
        <v>11</v>
      </c>
      <c r="T112" s="11">
        <f t="shared" si="33"/>
        <v>1</v>
      </c>
      <c r="U112" s="120" t="s">
        <v>80</v>
      </c>
      <c r="V112" s="120" t="s">
        <v>795</v>
      </c>
      <c r="W112" s="120" t="s">
        <v>788</v>
      </c>
      <c r="X112" s="120" t="s">
        <v>788</v>
      </c>
      <c r="Y112" s="120" t="s">
        <v>107</v>
      </c>
      <c r="Z112" s="120" t="s">
        <v>5</v>
      </c>
      <c r="AA112" s="120" t="s">
        <v>81</v>
      </c>
      <c r="AB112" s="120" t="s">
        <v>5</v>
      </c>
      <c r="AC112" s="120" t="s">
        <v>82</v>
      </c>
      <c r="AD112" s="120" t="s">
        <v>119</v>
      </c>
      <c r="AE112" s="120" t="s">
        <v>84</v>
      </c>
      <c r="AF112" s="120" t="s">
        <v>85</v>
      </c>
      <c r="AG112" s="133">
        <v>45000</v>
      </c>
      <c r="AH112" s="133">
        <v>45000</v>
      </c>
      <c r="AI112" s="133">
        <v>0</v>
      </c>
      <c r="AJ112" s="133">
        <v>0</v>
      </c>
      <c r="AK112" s="133">
        <v>27000</v>
      </c>
      <c r="AL112" s="120" t="s">
        <v>86</v>
      </c>
      <c r="AM112" s="120" t="s">
        <v>86</v>
      </c>
      <c r="AN112" s="120" t="s">
        <v>86</v>
      </c>
      <c r="AO112" s="120" t="s">
        <v>86</v>
      </c>
      <c r="AP112" s="120" t="s">
        <v>86</v>
      </c>
      <c r="AQ112" s="120" t="s">
        <v>87</v>
      </c>
      <c r="AR112" s="120" t="s">
        <v>88</v>
      </c>
      <c r="AS112" s="120" t="s">
        <v>89</v>
      </c>
      <c r="AT112" s="120" t="s">
        <v>89</v>
      </c>
      <c r="AU112" s="120" t="s">
        <v>315</v>
      </c>
      <c r="AV112" s="120" t="s">
        <v>316</v>
      </c>
      <c r="AW112" s="120" t="s">
        <v>92</v>
      </c>
      <c r="AX112" s="120" t="s">
        <v>796</v>
      </c>
      <c r="AY112" s="120">
        <v>0</v>
      </c>
      <c r="AZ112" s="120">
        <v>0</v>
      </c>
      <c r="BA112" s="120" t="s">
        <v>86</v>
      </c>
      <c r="BB112" s="134" t="s">
        <v>797</v>
      </c>
      <c r="BC112" s="120" t="s">
        <v>86</v>
      </c>
    </row>
    <row r="113" spans="1:55" ht="14.25" customHeight="1">
      <c r="A113" t="str">
        <f>IFERROR(VLOOKUP(AV113,Nómina!B:E,4,0),"")</f>
        <v>VICTORIA ANTONIA CABEZAS VIDELA</v>
      </c>
      <c r="B113" t="str">
        <f>IFERROR(VLOOKUP(A113,Nómina!E:F,2,0),"")</f>
        <v>19700904-7</v>
      </c>
      <c r="C113" s="30">
        <f t="shared" si="18"/>
        <v>22689</v>
      </c>
      <c r="D113" t="str">
        <f t="shared" si="19"/>
        <v>2026-07-11</v>
      </c>
      <c r="E113" t="str">
        <f t="shared" si="20"/>
        <v>HOTEL</v>
      </c>
      <c r="F113" t="str">
        <f t="shared" si="21"/>
        <v>Masaje</v>
      </c>
      <c r="G113" t="str">
        <f t="shared" si="22"/>
        <v>Pareja</v>
      </c>
      <c r="H113" t="str">
        <f t="shared" si="23"/>
        <v>60min</v>
      </c>
      <c r="I113" t="str">
        <f t="shared" si="24"/>
        <v>Relajante</v>
      </c>
      <c r="J113" t="str">
        <f t="shared" si="25"/>
        <v>LAS CONDES</v>
      </c>
      <c r="K113" t="str">
        <f t="shared" si="26"/>
        <v>Huésped: Bolivar Bilhalva. Hab: 1008. Solicita: Adeleyn Arancibia</v>
      </c>
      <c r="L113">
        <f t="shared" si="27"/>
        <v>0</v>
      </c>
      <c r="M113">
        <f t="shared" si="28"/>
        <v>0</v>
      </c>
      <c r="N113" t="str">
        <f t="shared" si="29"/>
        <v/>
      </c>
      <c r="O113" s="10" t="str">
        <f>+VLOOKUP(Z113,listas!$B:$C,2,0)</f>
        <v>HOTEL</v>
      </c>
      <c r="P113" s="11">
        <f t="shared" si="17"/>
        <v>45000</v>
      </c>
      <c r="Q113" s="11">
        <f t="shared" si="30"/>
        <v>22689</v>
      </c>
      <c r="R113" s="59">
        <f t="shared" si="31"/>
        <v>7</v>
      </c>
      <c r="S113" s="59">
        <f t="shared" si="32"/>
        <v>11</v>
      </c>
      <c r="T113" s="11">
        <f t="shared" si="33"/>
        <v>1</v>
      </c>
      <c r="U113" s="120" t="s">
        <v>80</v>
      </c>
      <c r="V113" s="120" t="s">
        <v>795</v>
      </c>
      <c r="W113" s="120" t="s">
        <v>788</v>
      </c>
      <c r="X113" s="120" t="s">
        <v>788</v>
      </c>
      <c r="Y113" s="120" t="s">
        <v>107</v>
      </c>
      <c r="Z113" s="120" t="s">
        <v>5</v>
      </c>
      <c r="AA113" s="120" t="s">
        <v>81</v>
      </c>
      <c r="AB113" s="120" t="s">
        <v>5</v>
      </c>
      <c r="AC113" s="120" t="s">
        <v>82</v>
      </c>
      <c r="AD113" s="120" t="s">
        <v>119</v>
      </c>
      <c r="AE113" s="120" t="s">
        <v>84</v>
      </c>
      <c r="AF113" s="120" t="s">
        <v>85</v>
      </c>
      <c r="AG113" s="133">
        <v>45000</v>
      </c>
      <c r="AH113" s="133">
        <v>45000</v>
      </c>
      <c r="AI113" s="133">
        <v>0</v>
      </c>
      <c r="AJ113" s="133">
        <v>0</v>
      </c>
      <c r="AK113" s="133">
        <v>27000</v>
      </c>
      <c r="AL113" s="120" t="s">
        <v>86</v>
      </c>
      <c r="AM113" s="120" t="s">
        <v>86</v>
      </c>
      <c r="AN113" s="120" t="s">
        <v>86</v>
      </c>
      <c r="AO113" s="120" t="s">
        <v>86</v>
      </c>
      <c r="AP113" s="120" t="s">
        <v>86</v>
      </c>
      <c r="AQ113" s="120" t="s">
        <v>87</v>
      </c>
      <c r="AR113" s="120" t="s">
        <v>88</v>
      </c>
      <c r="AS113" s="120" t="s">
        <v>89</v>
      </c>
      <c r="AT113" s="120" t="s">
        <v>89</v>
      </c>
      <c r="AU113" s="120" t="s">
        <v>284</v>
      </c>
      <c r="AV113" s="120" t="s">
        <v>27</v>
      </c>
      <c r="AW113" s="120" t="s">
        <v>92</v>
      </c>
      <c r="AX113" s="120" t="s">
        <v>796</v>
      </c>
      <c r="AY113" s="120">
        <v>0</v>
      </c>
      <c r="AZ113" s="120">
        <v>0</v>
      </c>
      <c r="BA113" s="120" t="s">
        <v>86</v>
      </c>
      <c r="BB113" s="134" t="s">
        <v>797</v>
      </c>
      <c r="BC113" s="120" t="s">
        <v>86</v>
      </c>
    </row>
    <row r="114" spans="1:55" ht="14.25" customHeight="1">
      <c r="A114" t="str">
        <f>IFERROR(VLOOKUP(AV114,Nómina!B:E,4,0),"")</f>
        <v>CLAUDIA ESTRELLA ESPINOZA CANIUQUEO</v>
      </c>
      <c r="B114" t="str">
        <f>IFERROR(VLOOKUP(A114,Nómina!E:F,2,0),"")</f>
        <v>13441148-1</v>
      </c>
      <c r="C114" s="30">
        <f t="shared" si="18"/>
        <v>22689</v>
      </c>
      <c r="D114" t="str">
        <f t="shared" si="19"/>
        <v>2026-07-11</v>
      </c>
      <c r="E114" t="str">
        <f t="shared" si="20"/>
        <v>HOTEL</v>
      </c>
      <c r="F114" t="str">
        <f t="shared" si="21"/>
        <v>Masaje</v>
      </c>
      <c r="G114" t="str">
        <f t="shared" si="22"/>
        <v>Pareja</v>
      </c>
      <c r="H114" t="str">
        <f t="shared" si="23"/>
        <v>60min</v>
      </c>
      <c r="I114" t="str">
        <f t="shared" si="24"/>
        <v>Relajante</v>
      </c>
      <c r="J114" t="str">
        <f t="shared" si="25"/>
        <v>VITACURA</v>
      </c>
      <c r="K114" t="str">
        <f t="shared" si="26"/>
        <v>Huésped: Esteban González. Hab: 1504.</v>
      </c>
      <c r="L114">
        <f t="shared" si="27"/>
        <v>0</v>
      </c>
      <c r="M114">
        <f t="shared" si="28"/>
        <v>0</v>
      </c>
      <c r="N114" t="str">
        <f t="shared" si="29"/>
        <v/>
      </c>
      <c r="O114" s="10" t="str">
        <f>+VLOOKUP(Z114,listas!$B:$C,2,0)</f>
        <v>HOTEL</v>
      </c>
      <c r="P114" s="11">
        <f t="shared" si="17"/>
        <v>45000</v>
      </c>
      <c r="Q114" s="11">
        <f t="shared" si="30"/>
        <v>22689</v>
      </c>
      <c r="R114" s="59">
        <f t="shared" si="31"/>
        <v>7</v>
      </c>
      <c r="S114" s="59">
        <f t="shared" si="32"/>
        <v>11</v>
      </c>
      <c r="T114" s="11">
        <f t="shared" si="33"/>
        <v>1</v>
      </c>
      <c r="U114" s="120" t="s">
        <v>80</v>
      </c>
      <c r="V114" s="120" t="s">
        <v>798</v>
      </c>
      <c r="W114" s="120" t="s">
        <v>788</v>
      </c>
      <c r="X114" s="120" t="s">
        <v>788</v>
      </c>
      <c r="Y114" s="120" t="s">
        <v>128</v>
      </c>
      <c r="Z114" s="120" t="s">
        <v>5</v>
      </c>
      <c r="AA114" s="120" t="s">
        <v>81</v>
      </c>
      <c r="AB114" s="120" t="s">
        <v>5</v>
      </c>
      <c r="AC114" s="120" t="s">
        <v>82</v>
      </c>
      <c r="AD114" s="120" t="s">
        <v>119</v>
      </c>
      <c r="AE114" s="120" t="s">
        <v>84</v>
      </c>
      <c r="AF114" s="120" t="s">
        <v>85</v>
      </c>
      <c r="AG114" s="133">
        <v>45000</v>
      </c>
      <c r="AH114" s="133">
        <v>45000</v>
      </c>
      <c r="AI114" s="133">
        <v>0</v>
      </c>
      <c r="AJ114" s="133">
        <v>0</v>
      </c>
      <c r="AK114" s="133">
        <v>27000</v>
      </c>
      <c r="AL114" s="120" t="s">
        <v>86</v>
      </c>
      <c r="AM114" s="120" t="s">
        <v>86</v>
      </c>
      <c r="AN114" s="120" t="s">
        <v>86</v>
      </c>
      <c r="AO114" s="120" t="s">
        <v>86</v>
      </c>
      <c r="AP114" s="120" t="s">
        <v>86</v>
      </c>
      <c r="AQ114" s="120" t="s">
        <v>599</v>
      </c>
      <c r="AR114" s="120" t="s">
        <v>600</v>
      </c>
      <c r="AS114" s="120" t="s">
        <v>115</v>
      </c>
      <c r="AT114" s="120" t="s">
        <v>115</v>
      </c>
      <c r="AU114" s="120" t="s">
        <v>136</v>
      </c>
      <c r="AV114" s="120" t="s">
        <v>8</v>
      </c>
      <c r="AW114" s="120" t="s">
        <v>92</v>
      </c>
      <c r="AX114" s="120" t="s">
        <v>799</v>
      </c>
      <c r="AY114" s="120">
        <v>0</v>
      </c>
      <c r="AZ114" s="120">
        <v>0</v>
      </c>
      <c r="BA114" s="120" t="s">
        <v>86</v>
      </c>
      <c r="BB114" s="134" t="s">
        <v>800</v>
      </c>
      <c r="BC114" s="120" t="s">
        <v>86</v>
      </c>
    </row>
    <row r="115" spans="1:55" ht="14.25" customHeight="1">
      <c r="A115" t="str">
        <f>IFERROR(VLOOKUP(AV115,Nómina!B:E,4,0),"")</f>
        <v>IVVO LEANDRO VERGARA SALINAS</v>
      </c>
      <c r="B115" t="str">
        <f>IFERROR(VLOOKUP(A115,Nómina!E:F,2,0),"")</f>
        <v>17681238-9</v>
      </c>
      <c r="C115" s="30">
        <f t="shared" si="18"/>
        <v>22689</v>
      </c>
      <c r="D115" t="str">
        <f t="shared" si="19"/>
        <v>2026-07-11</v>
      </c>
      <c r="E115" t="str">
        <f t="shared" si="20"/>
        <v>HOTEL</v>
      </c>
      <c r="F115" t="str">
        <f t="shared" si="21"/>
        <v>Masaje</v>
      </c>
      <c r="G115" t="str">
        <f t="shared" si="22"/>
        <v>Pareja</v>
      </c>
      <c r="H115" t="str">
        <f t="shared" si="23"/>
        <v>60min</v>
      </c>
      <c r="I115" t="str">
        <f t="shared" si="24"/>
        <v>Relajante</v>
      </c>
      <c r="J115" t="str">
        <f t="shared" si="25"/>
        <v>VITACURA</v>
      </c>
      <c r="K115" t="str">
        <f t="shared" si="26"/>
        <v>Huésped: Esteban González. Hab: 1504.</v>
      </c>
      <c r="L115">
        <f t="shared" si="27"/>
        <v>0</v>
      </c>
      <c r="M115">
        <f t="shared" si="28"/>
        <v>0</v>
      </c>
      <c r="N115" t="str">
        <f t="shared" si="29"/>
        <v/>
      </c>
      <c r="O115" s="10" t="str">
        <f>+VLOOKUP(Z115,listas!$B:$C,2,0)</f>
        <v>HOTEL</v>
      </c>
      <c r="P115" s="11">
        <f t="shared" si="17"/>
        <v>45000</v>
      </c>
      <c r="Q115" s="11">
        <f t="shared" si="30"/>
        <v>22689</v>
      </c>
      <c r="R115" s="59">
        <f t="shared" si="31"/>
        <v>7</v>
      </c>
      <c r="S115" s="59">
        <f t="shared" si="32"/>
        <v>11</v>
      </c>
      <c r="T115" s="11">
        <f t="shared" si="33"/>
        <v>1</v>
      </c>
      <c r="U115" s="120" t="s">
        <v>80</v>
      </c>
      <c r="V115" s="120" t="s">
        <v>798</v>
      </c>
      <c r="W115" s="120" t="s">
        <v>788</v>
      </c>
      <c r="X115" s="120" t="s">
        <v>788</v>
      </c>
      <c r="Y115" s="120" t="s">
        <v>128</v>
      </c>
      <c r="Z115" s="120" t="s">
        <v>5</v>
      </c>
      <c r="AA115" s="120" t="s">
        <v>81</v>
      </c>
      <c r="AB115" s="120" t="s">
        <v>5</v>
      </c>
      <c r="AC115" s="120" t="s">
        <v>82</v>
      </c>
      <c r="AD115" s="120" t="s">
        <v>119</v>
      </c>
      <c r="AE115" s="120" t="s">
        <v>84</v>
      </c>
      <c r="AF115" s="120" t="s">
        <v>85</v>
      </c>
      <c r="AG115" s="133">
        <v>45000</v>
      </c>
      <c r="AH115" s="133">
        <v>45000</v>
      </c>
      <c r="AI115" s="133">
        <v>0</v>
      </c>
      <c r="AJ115" s="133">
        <v>0</v>
      </c>
      <c r="AK115" s="133">
        <v>27000</v>
      </c>
      <c r="AL115" s="120" t="s">
        <v>86</v>
      </c>
      <c r="AM115" s="120" t="s">
        <v>86</v>
      </c>
      <c r="AN115" s="120" t="s">
        <v>86</v>
      </c>
      <c r="AO115" s="120" t="s">
        <v>86</v>
      </c>
      <c r="AP115" s="120" t="s">
        <v>86</v>
      </c>
      <c r="AQ115" s="120" t="s">
        <v>599</v>
      </c>
      <c r="AR115" s="120" t="s">
        <v>600</v>
      </c>
      <c r="AS115" s="120" t="s">
        <v>115</v>
      </c>
      <c r="AT115" s="120" t="s">
        <v>115</v>
      </c>
      <c r="AU115" s="120" t="s">
        <v>381</v>
      </c>
      <c r="AV115" s="120" t="s">
        <v>25</v>
      </c>
      <c r="AW115" s="120" t="s">
        <v>92</v>
      </c>
      <c r="AX115" s="120" t="s">
        <v>799</v>
      </c>
      <c r="AY115" s="120">
        <v>0</v>
      </c>
      <c r="AZ115" s="120">
        <v>0</v>
      </c>
      <c r="BA115" s="120" t="s">
        <v>86</v>
      </c>
      <c r="BB115" s="134" t="s">
        <v>800</v>
      </c>
      <c r="BC115" s="120" t="s">
        <v>86</v>
      </c>
    </row>
    <row r="116" spans="1:55" ht="14.25" customHeight="1">
      <c r="A116" t="str">
        <f>IFERROR(VLOOKUP(AV116,Nómina!B:E,4,0),"")</f>
        <v>CLAUDIA ESTRELLA ESPINOZA CANIUQUEO</v>
      </c>
      <c r="B116" t="str">
        <f>IFERROR(VLOOKUP(A116,Nómina!E:F,2,0),"")</f>
        <v>13441148-1</v>
      </c>
      <c r="C116" s="30">
        <f t="shared" si="18"/>
        <v>6050</v>
      </c>
      <c r="D116" t="str">
        <f t="shared" si="19"/>
        <v>2026-07-11</v>
      </c>
      <c r="E116" t="str">
        <f t="shared" si="20"/>
        <v>HOTEL</v>
      </c>
      <c r="F116" t="str">
        <f t="shared" si="21"/>
        <v>Addon</v>
      </c>
      <c r="G116" t="str">
        <f t="shared" si="22"/>
        <v>Pareja</v>
      </c>
      <c r="H116" t="str">
        <f t="shared" si="23"/>
        <v>15min</v>
      </c>
      <c r="I116" t="str">
        <f t="shared" si="24"/>
        <v>Yoga Facial</v>
      </c>
      <c r="J116" t="str">
        <f t="shared" si="25"/>
        <v>VITACURA</v>
      </c>
      <c r="K116" t="str">
        <f t="shared" si="26"/>
        <v>Huésped: Esteban González. Hab: 1504.</v>
      </c>
      <c r="L116">
        <f t="shared" si="27"/>
        <v>0</v>
      </c>
      <c r="M116">
        <f t="shared" si="28"/>
        <v>0</v>
      </c>
      <c r="N116" t="str">
        <f t="shared" si="29"/>
        <v/>
      </c>
      <c r="O116" s="10" t="str">
        <f>+VLOOKUP(Z116,listas!$B:$C,2,0)</f>
        <v>HOTEL</v>
      </c>
      <c r="P116" s="11">
        <f t="shared" si="17"/>
        <v>12000</v>
      </c>
      <c r="Q116" s="11">
        <f t="shared" si="30"/>
        <v>6050</v>
      </c>
      <c r="R116" s="59">
        <f t="shared" si="31"/>
        <v>7</v>
      </c>
      <c r="S116" s="59">
        <f t="shared" si="32"/>
        <v>11</v>
      </c>
      <c r="T116" s="11">
        <f t="shared" si="33"/>
        <v>1</v>
      </c>
      <c r="U116" s="135" t="s">
        <v>80</v>
      </c>
      <c r="V116" s="135" t="s">
        <v>798</v>
      </c>
      <c r="W116" s="135" t="s">
        <v>788</v>
      </c>
      <c r="X116" s="135" t="s">
        <v>788</v>
      </c>
      <c r="Y116" s="135" t="s">
        <v>128</v>
      </c>
      <c r="Z116" s="135" t="s">
        <v>5</v>
      </c>
      <c r="AA116" s="135" t="s">
        <v>81</v>
      </c>
      <c r="AB116" s="135" t="s">
        <v>5</v>
      </c>
      <c r="AC116" s="135" t="s">
        <v>93</v>
      </c>
      <c r="AD116" s="135" t="s">
        <v>119</v>
      </c>
      <c r="AE116" s="135" t="s">
        <v>94</v>
      </c>
      <c r="AF116" s="135" t="s">
        <v>113</v>
      </c>
      <c r="AG116" s="136">
        <v>12000</v>
      </c>
      <c r="AH116" s="136">
        <v>12000</v>
      </c>
      <c r="AI116" s="136">
        <v>0</v>
      </c>
      <c r="AJ116" s="136">
        <v>0</v>
      </c>
      <c r="AK116" s="136">
        <v>7200</v>
      </c>
      <c r="AL116" s="135" t="s">
        <v>86</v>
      </c>
      <c r="AM116" s="135" t="s">
        <v>86</v>
      </c>
      <c r="AN116" s="135" t="s">
        <v>86</v>
      </c>
      <c r="AO116" s="135" t="s">
        <v>86</v>
      </c>
      <c r="AP116" s="135" t="s">
        <v>86</v>
      </c>
      <c r="AQ116" s="135" t="s">
        <v>599</v>
      </c>
      <c r="AR116" s="135" t="s">
        <v>600</v>
      </c>
      <c r="AS116" s="135" t="s">
        <v>115</v>
      </c>
      <c r="AT116" s="135" t="s">
        <v>115</v>
      </c>
      <c r="AU116" s="135" t="s">
        <v>136</v>
      </c>
      <c r="AV116" s="135" t="s">
        <v>8</v>
      </c>
      <c r="AW116" s="135" t="s">
        <v>92</v>
      </c>
      <c r="AX116" s="135" t="s">
        <v>799</v>
      </c>
      <c r="AY116" s="135">
        <v>0</v>
      </c>
      <c r="AZ116" s="135">
        <v>0</v>
      </c>
      <c r="BA116" s="135" t="s">
        <v>86</v>
      </c>
      <c r="BB116" s="137" t="s">
        <v>800</v>
      </c>
      <c r="BC116" s="135" t="s">
        <v>86</v>
      </c>
    </row>
    <row r="117" spans="1:55" ht="14.25" customHeight="1">
      <c r="A117" t="str">
        <f>IFERROR(VLOOKUP(AV117,Nómina!B:E,4,0),"")</f>
        <v>IVVO LEANDRO VERGARA SALINAS</v>
      </c>
      <c r="B117" t="str">
        <f>IFERROR(VLOOKUP(A117,Nómina!E:F,2,0),"")</f>
        <v>17681238-9</v>
      </c>
      <c r="C117" s="30">
        <f t="shared" si="18"/>
        <v>5042</v>
      </c>
      <c r="D117" t="str">
        <f t="shared" si="19"/>
        <v>2026-07-11</v>
      </c>
      <c r="E117" t="str">
        <f t="shared" si="20"/>
        <v>HOTEL</v>
      </c>
      <c r="F117" t="str">
        <f t="shared" si="21"/>
        <v>Addon</v>
      </c>
      <c r="G117" t="str">
        <f t="shared" si="22"/>
        <v>Pareja</v>
      </c>
      <c r="H117" t="str">
        <f t="shared" si="23"/>
        <v>15min</v>
      </c>
      <c r="I117" t="str">
        <f t="shared" si="24"/>
        <v>Masaje Tiempo Extra</v>
      </c>
      <c r="J117" t="str">
        <f t="shared" si="25"/>
        <v>VITACURA</v>
      </c>
      <c r="K117" t="str">
        <f t="shared" si="26"/>
        <v>Huésped: Esteban González. Hab: 1504.</v>
      </c>
      <c r="L117">
        <f t="shared" si="27"/>
        <v>0</v>
      </c>
      <c r="M117">
        <f t="shared" si="28"/>
        <v>0</v>
      </c>
      <c r="N117" t="str">
        <f t="shared" si="29"/>
        <v/>
      </c>
      <c r="O117" s="10" t="str">
        <f>+VLOOKUP(Z117,listas!$B:$C,2,0)</f>
        <v>HOTEL</v>
      </c>
      <c r="P117" s="11">
        <f t="shared" si="17"/>
        <v>10000</v>
      </c>
      <c r="Q117" s="11">
        <f t="shared" si="30"/>
        <v>5042</v>
      </c>
      <c r="R117" s="59">
        <f t="shared" si="31"/>
        <v>7</v>
      </c>
      <c r="S117" s="59">
        <f t="shared" si="32"/>
        <v>11</v>
      </c>
      <c r="T117" s="11">
        <f t="shared" si="33"/>
        <v>1</v>
      </c>
      <c r="U117" s="135" t="s">
        <v>80</v>
      </c>
      <c r="V117" s="135" t="s">
        <v>798</v>
      </c>
      <c r="W117" s="135" t="s">
        <v>788</v>
      </c>
      <c r="X117" s="135" t="s">
        <v>788</v>
      </c>
      <c r="Y117" s="135" t="s">
        <v>128</v>
      </c>
      <c r="Z117" s="135" t="s">
        <v>5</v>
      </c>
      <c r="AA117" s="135" t="s">
        <v>81</v>
      </c>
      <c r="AB117" s="135" t="s">
        <v>5</v>
      </c>
      <c r="AC117" s="135" t="s">
        <v>93</v>
      </c>
      <c r="AD117" s="135" t="s">
        <v>119</v>
      </c>
      <c r="AE117" s="135" t="s">
        <v>94</v>
      </c>
      <c r="AF117" s="135" t="s">
        <v>127</v>
      </c>
      <c r="AG117" s="136">
        <v>10000</v>
      </c>
      <c r="AH117" s="136">
        <v>10000</v>
      </c>
      <c r="AI117" s="136">
        <v>0</v>
      </c>
      <c r="AJ117" s="136">
        <v>0</v>
      </c>
      <c r="AK117" s="136">
        <v>6000</v>
      </c>
      <c r="AL117" s="135" t="s">
        <v>86</v>
      </c>
      <c r="AM117" s="135" t="s">
        <v>86</v>
      </c>
      <c r="AN117" s="135" t="s">
        <v>86</v>
      </c>
      <c r="AO117" s="135" t="s">
        <v>86</v>
      </c>
      <c r="AP117" s="135" t="s">
        <v>86</v>
      </c>
      <c r="AQ117" s="135" t="s">
        <v>599</v>
      </c>
      <c r="AR117" s="135" t="s">
        <v>600</v>
      </c>
      <c r="AS117" s="135" t="s">
        <v>115</v>
      </c>
      <c r="AT117" s="135" t="s">
        <v>115</v>
      </c>
      <c r="AU117" s="135" t="s">
        <v>381</v>
      </c>
      <c r="AV117" s="135" t="s">
        <v>25</v>
      </c>
      <c r="AW117" s="135" t="s">
        <v>92</v>
      </c>
      <c r="AX117" s="135" t="s">
        <v>799</v>
      </c>
      <c r="AY117" s="135">
        <v>0</v>
      </c>
      <c r="AZ117" s="135">
        <v>0</v>
      </c>
      <c r="BA117" s="135" t="s">
        <v>86</v>
      </c>
      <c r="BB117" s="137" t="s">
        <v>800</v>
      </c>
      <c r="BC117" s="135" t="s">
        <v>86</v>
      </c>
    </row>
    <row r="118" spans="1:55" ht="14.25" customHeight="1">
      <c r="A118" t="str">
        <f>IFERROR(VLOOKUP(AV118,Nómina!B:E,4,0),"")</f>
        <v>PAMELA VERONICA CID NAVIA  </v>
      </c>
      <c r="B118" t="str">
        <f>IFERROR(VLOOKUP(A118,Nómina!E:F,2,0),"")</f>
        <v>8008360-2</v>
      </c>
      <c r="C118" s="30">
        <f t="shared" si="18"/>
        <v>22689</v>
      </c>
      <c r="D118" t="str">
        <f t="shared" si="19"/>
        <v>2026-07-11</v>
      </c>
      <c r="E118" t="str">
        <f t="shared" si="20"/>
        <v>B2C</v>
      </c>
      <c r="F118" t="str">
        <f t="shared" si="21"/>
        <v>Masaje</v>
      </c>
      <c r="G118" t="str">
        <f t="shared" si="22"/>
        <v>Pareja</v>
      </c>
      <c r="H118" t="str">
        <f t="shared" si="23"/>
        <v>60min</v>
      </c>
      <c r="I118" t="str">
        <f t="shared" si="24"/>
        <v>Tejido profundo</v>
      </c>
      <c r="J118" t="str">
        <f t="shared" si="25"/>
        <v>LAS CONDES</v>
      </c>
      <c r="K118" t="str">
        <f t="shared" si="26"/>
        <v>Ninguno</v>
      </c>
      <c r="L118">
        <f t="shared" si="27"/>
        <v>0</v>
      </c>
      <c r="M118">
        <f t="shared" si="28"/>
        <v>0</v>
      </c>
      <c r="N118" t="str">
        <f t="shared" si="29"/>
        <v/>
      </c>
      <c r="O118" s="10" t="str">
        <f>+VLOOKUP(Z118,listas!$B:$C,2,0)</f>
        <v>B2C</v>
      </c>
      <c r="P118" s="11">
        <f t="shared" si="17"/>
        <v>45000</v>
      </c>
      <c r="Q118" s="11">
        <f t="shared" si="30"/>
        <v>22689</v>
      </c>
      <c r="R118" s="59">
        <f t="shared" si="31"/>
        <v>7</v>
      </c>
      <c r="S118" s="59">
        <f t="shared" si="32"/>
        <v>11</v>
      </c>
      <c r="T118" s="11">
        <f t="shared" si="33"/>
        <v>1</v>
      </c>
      <c r="U118" s="120" t="s">
        <v>80</v>
      </c>
      <c r="V118" s="120" t="s">
        <v>801</v>
      </c>
      <c r="W118" s="120" t="s">
        <v>788</v>
      </c>
      <c r="X118" s="120" t="s">
        <v>788</v>
      </c>
      <c r="Y118" s="120" t="s">
        <v>111</v>
      </c>
      <c r="Z118" s="120" t="s">
        <v>98</v>
      </c>
      <c r="AA118" s="120" t="s">
        <v>99</v>
      </c>
      <c r="AB118" s="120" t="s">
        <v>4</v>
      </c>
      <c r="AC118" s="120" t="s">
        <v>82</v>
      </c>
      <c r="AD118" s="120" t="s">
        <v>119</v>
      </c>
      <c r="AE118" s="120" t="s">
        <v>84</v>
      </c>
      <c r="AF118" s="120" t="s">
        <v>123</v>
      </c>
      <c r="AG118" s="133">
        <v>45000</v>
      </c>
      <c r="AH118" s="133">
        <v>45000</v>
      </c>
      <c r="AI118" s="133">
        <v>0</v>
      </c>
      <c r="AJ118" s="133">
        <v>0</v>
      </c>
      <c r="AK118" s="133">
        <v>27000</v>
      </c>
      <c r="AL118" s="120" t="s">
        <v>86</v>
      </c>
      <c r="AM118" s="120" t="s">
        <v>86</v>
      </c>
      <c r="AN118" s="120" t="s">
        <v>86</v>
      </c>
      <c r="AO118" s="120" t="s">
        <v>86</v>
      </c>
      <c r="AP118" s="120" t="s">
        <v>86</v>
      </c>
      <c r="AQ118" s="120" t="s">
        <v>802</v>
      </c>
      <c r="AR118" s="120" t="s">
        <v>803</v>
      </c>
      <c r="AS118" s="120" t="s">
        <v>89</v>
      </c>
      <c r="AT118" s="120" t="s">
        <v>89</v>
      </c>
      <c r="AU118" s="120" t="s">
        <v>144</v>
      </c>
      <c r="AV118" s="120" t="s">
        <v>19</v>
      </c>
      <c r="AW118" s="120" t="s">
        <v>92</v>
      </c>
      <c r="AX118" s="120" t="s">
        <v>103</v>
      </c>
      <c r="AY118" s="120">
        <v>0</v>
      </c>
      <c r="AZ118" s="120">
        <v>0</v>
      </c>
      <c r="BA118" s="120" t="s">
        <v>86</v>
      </c>
      <c r="BB118" s="134" t="s">
        <v>804</v>
      </c>
      <c r="BC118" s="120" t="s">
        <v>86</v>
      </c>
    </row>
    <row r="119" spans="1:55" ht="14.25" customHeight="1">
      <c r="A119" t="str">
        <f>IFERROR(VLOOKUP(AV119,Nómina!B:E,4,0),"")</f>
        <v>GENESIS VALENTINA SALAZAR GUEVARA</v>
      </c>
      <c r="B119" t="str">
        <f>IFERROR(VLOOKUP(A119,Nómina!E:F,2,0),"")</f>
        <v>27828546-4</v>
      </c>
      <c r="C119" s="30">
        <f t="shared" si="18"/>
        <v>22689</v>
      </c>
      <c r="D119" t="str">
        <f t="shared" si="19"/>
        <v>2026-07-11</v>
      </c>
      <c r="E119" t="str">
        <f t="shared" si="20"/>
        <v>B2C</v>
      </c>
      <c r="F119" t="str">
        <f t="shared" si="21"/>
        <v>Masaje</v>
      </c>
      <c r="G119" t="str">
        <f t="shared" si="22"/>
        <v>Pareja</v>
      </c>
      <c r="H119" t="str">
        <f t="shared" si="23"/>
        <v>60min</v>
      </c>
      <c r="I119" t="str">
        <f t="shared" si="24"/>
        <v>Relajante</v>
      </c>
      <c r="J119" t="str">
        <f t="shared" si="25"/>
        <v>LAS CONDES</v>
      </c>
      <c r="K119" t="str">
        <f t="shared" si="26"/>
        <v>Ninguno</v>
      </c>
      <c r="L119">
        <f t="shared" si="27"/>
        <v>0</v>
      </c>
      <c r="M119">
        <f t="shared" si="28"/>
        <v>0</v>
      </c>
      <c r="N119" t="str">
        <f t="shared" si="29"/>
        <v/>
      </c>
      <c r="O119" s="10" t="str">
        <f>+VLOOKUP(Z119,listas!$B:$C,2,0)</f>
        <v>B2C</v>
      </c>
      <c r="P119" s="11">
        <f t="shared" si="17"/>
        <v>45000</v>
      </c>
      <c r="Q119" s="11">
        <f t="shared" si="30"/>
        <v>22689</v>
      </c>
      <c r="R119" s="59">
        <f t="shared" si="31"/>
        <v>7</v>
      </c>
      <c r="S119" s="59">
        <f t="shared" si="32"/>
        <v>11</v>
      </c>
      <c r="T119" s="11">
        <f t="shared" si="33"/>
        <v>1</v>
      </c>
      <c r="U119" s="120" t="s">
        <v>80</v>
      </c>
      <c r="V119" s="120" t="s">
        <v>801</v>
      </c>
      <c r="W119" s="120" t="s">
        <v>788</v>
      </c>
      <c r="X119" s="120" t="s">
        <v>788</v>
      </c>
      <c r="Y119" s="120" t="s">
        <v>111</v>
      </c>
      <c r="Z119" s="120" t="s">
        <v>98</v>
      </c>
      <c r="AA119" s="120" t="s">
        <v>99</v>
      </c>
      <c r="AB119" s="120" t="s">
        <v>4</v>
      </c>
      <c r="AC119" s="120" t="s">
        <v>82</v>
      </c>
      <c r="AD119" s="120" t="s">
        <v>119</v>
      </c>
      <c r="AE119" s="120" t="s">
        <v>84</v>
      </c>
      <c r="AF119" s="120" t="s">
        <v>85</v>
      </c>
      <c r="AG119" s="133">
        <v>45000</v>
      </c>
      <c r="AH119" s="133">
        <v>45000</v>
      </c>
      <c r="AI119" s="133">
        <v>0</v>
      </c>
      <c r="AJ119" s="133">
        <v>0</v>
      </c>
      <c r="AK119" s="133">
        <v>27000</v>
      </c>
      <c r="AL119" s="120" t="s">
        <v>86</v>
      </c>
      <c r="AM119" s="120" t="s">
        <v>86</v>
      </c>
      <c r="AN119" s="120" t="s">
        <v>86</v>
      </c>
      <c r="AO119" s="120" t="s">
        <v>86</v>
      </c>
      <c r="AP119" s="120" t="s">
        <v>86</v>
      </c>
      <c r="AQ119" s="120" t="s">
        <v>802</v>
      </c>
      <c r="AR119" s="120" t="s">
        <v>803</v>
      </c>
      <c r="AS119" s="120" t="s">
        <v>89</v>
      </c>
      <c r="AT119" s="120" t="s">
        <v>89</v>
      </c>
      <c r="AU119" s="120" t="s">
        <v>109</v>
      </c>
      <c r="AV119" s="120" t="s">
        <v>549</v>
      </c>
      <c r="AW119" s="120" t="s">
        <v>92</v>
      </c>
      <c r="AX119" s="120" t="s">
        <v>103</v>
      </c>
      <c r="AY119" s="120">
        <v>0</v>
      </c>
      <c r="AZ119" s="120">
        <v>0</v>
      </c>
      <c r="BA119" s="120" t="s">
        <v>86</v>
      </c>
      <c r="BB119" s="134" t="s">
        <v>804</v>
      </c>
      <c r="BC119" s="120" t="s">
        <v>86</v>
      </c>
    </row>
    <row r="120" spans="1:55" ht="14.25" customHeight="1">
      <c r="A120" t="str">
        <f>IFERROR(VLOOKUP(AV120,Nómina!B:E,4,0),"")</f>
        <v>PAMELA VERONICA CID NAVIA  </v>
      </c>
      <c r="B120" t="str">
        <f>IFERROR(VLOOKUP(A120,Nómina!E:F,2,0),"")</f>
        <v>8008360-2</v>
      </c>
      <c r="C120" s="30">
        <f t="shared" si="18"/>
        <v>2521</v>
      </c>
      <c r="D120" t="str">
        <f t="shared" si="19"/>
        <v>2026-07-11</v>
      </c>
      <c r="E120" t="str">
        <f t="shared" si="20"/>
        <v>B2C</v>
      </c>
      <c r="F120" t="str">
        <f t="shared" si="21"/>
        <v>Extra</v>
      </c>
      <c r="G120" t="str">
        <f t="shared" si="22"/>
        <v>Pareja</v>
      </c>
      <c r="H120" t="str">
        <f t="shared" si="23"/>
        <v>-</v>
      </c>
      <c r="I120" t="str">
        <f t="shared" si="24"/>
        <v>Extra por festivo o fin de semana</v>
      </c>
      <c r="J120" t="str">
        <f t="shared" si="25"/>
        <v>LAS CONDES</v>
      </c>
      <c r="K120" t="str">
        <f t="shared" si="26"/>
        <v>Ninguno</v>
      </c>
      <c r="L120">
        <f t="shared" si="27"/>
        <v>0</v>
      </c>
      <c r="M120">
        <f t="shared" si="28"/>
        <v>0</v>
      </c>
      <c r="N120" t="str">
        <f t="shared" si="29"/>
        <v/>
      </c>
      <c r="O120" s="10" t="str">
        <f>+VLOOKUP(Z120,listas!$B:$C,2,0)</f>
        <v>B2C</v>
      </c>
      <c r="P120" s="11">
        <f t="shared" si="17"/>
        <v>5000</v>
      </c>
      <c r="Q120" s="11">
        <f t="shared" si="30"/>
        <v>2521</v>
      </c>
      <c r="R120" s="59">
        <f t="shared" si="31"/>
        <v>7</v>
      </c>
      <c r="S120" s="59">
        <f t="shared" si="32"/>
        <v>11</v>
      </c>
      <c r="T120" s="11">
        <f t="shared" si="33"/>
        <v>1</v>
      </c>
      <c r="U120" s="138" t="s">
        <v>80</v>
      </c>
      <c r="V120" s="138" t="s">
        <v>801</v>
      </c>
      <c r="W120" s="138" t="s">
        <v>788</v>
      </c>
      <c r="X120" s="138" t="s">
        <v>788</v>
      </c>
      <c r="Y120" s="138" t="s">
        <v>111</v>
      </c>
      <c r="Z120" s="138" t="s">
        <v>98</v>
      </c>
      <c r="AA120" s="138" t="s">
        <v>99</v>
      </c>
      <c r="AB120" s="138" t="s">
        <v>4</v>
      </c>
      <c r="AC120" s="138" t="s">
        <v>104</v>
      </c>
      <c r="AD120" s="138" t="s">
        <v>119</v>
      </c>
      <c r="AE120" s="138" t="s">
        <v>105</v>
      </c>
      <c r="AF120" s="138" t="s">
        <v>438</v>
      </c>
      <c r="AG120" s="139">
        <v>5000</v>
      </c>
      <c r="AH120" s="139">
        <v>5000</v>
      </c>
      <c r="AI120" s="139">
        <v>0</v>
      </c>
      <c r="AJ120" s="139">
        <v>0</v>
      </c>
      <c r="AK120" s="139">
        <v>5000</v>
      </c>
      <c r="AL120" s="138" t="s">
        <v>86</v>
      </c>
      <c r="AM120" s="138" t="s">
        <v>86</v>
      </c>
      <c r="AN120" s="138" t="s">
        <v>86</v>
      </c>
      <c r="AO120" s="138" t="s">
        <v>86</v>
      </c>
      <c r="AP120" s="138" t="s">
        <v>86</v>
      </c>
      <c r="AQ120" s="138" t="s">
        <v>802</v>
      </c>
      <c r="AR120" s="138" t="s">
        <v>803</v>
      </c>
      <c r="AS120" s="138" t="s">
        <v>89</v>
      </c>
      <c r="AT120" s="138" t="s">
        <v>89</v>
      </c>
      <c r="AU120" s="138" t="s">
        <v>144</v>
      </c>
      <c r="AV120" s="138" t="s">
        <v>19</v>
      </c>
      <c r="AW120" s="138" t="s">
        <v>92</v>
      </c>
      <c r="AX120" s="138" t="s">
        <v>103</v>
      </c>
      <c r="AY120" s="138">
        <v>0</v>
      </c>
      <c r="AZ120" s="138">
        <v>0</v>
      </c>
      <c r="BA120" s="138" t="s">
        <v>86</v>
      </c>
      <c r="BB120" s="140" t="s">
        <v>804</v>
      </c>
      <c r="BC120" s="138" t="s">
        <v>86</v>
      </c>
    </row>
    <row r="121" spans="1:55" ht="14.25" customHeight="1">
      <c r="A121" t="str">
        <f>IFERROR(VLOOKUP(AV121,Nómina!B:E,4,0),"")</f>
        <v>GENESIS VALENTINA SALAZAR GUEVARA</v>
      </c>
      <c r="B121" t="str">
        <f>IFERROR(VLOOKUP(A121,Nómina!E:F,2,0),"")</f>
        <v>27828546-4</v>
      </c>
      <c r="C121" s="30">
        <f t="shared" si="18"/>
        <v>2521</v>
      </c>
      <c r="D121" t="str">
        <f t="shared" si="19"/>
        <v>2026-07-11</v>
      </c>
      <c r="E121" t="str">
        <f t="shared" si="20"/>
        <v>B2C</v>
      </c>
      <c r="F121" t="str">
        <f t="shared" si="21"/>
        <v>Extra</v>
      </c>
      <c r="G121" t="str">
        <f t="shared" si="22"/>
        <v>Pareja</v>
      </c>
      <c r="H121" t="str">
        <f t="shared" si="23"/>
        <v>-</v>
      </c>
      <c r="I121" t="str">
        <f t="shared" si="24"/>
        <v>Extra por festivo o fin de semana</v>
      </c>
      <c r="J121" t="str">
        <f t="shared" si="25"/>
        <v>LAS CONDES</v>
      </c>
      <c r="K121" t="str">
        <f t="shared" si="26"/>
        <v>Ninguno</v>
      </c>
      <c r="L121">
        <f t="shared" si="27"/>
        <v>0</v>
      </c>
      <c r="M121">
        <f t="shared" si="28"/>
        <v>0</v>
      </c>
      <c r="N121" t="str">
        <f t="shared" si="29"/>
        <v/>
      </c>
      <c r="O121" s="10" t="str">
        <f>+VLOOKUP(Z121,listas!$B:$C,2,0)</f>
        <v>B2C</v>
      </c>
      <c r="P121" s="11">
        <f t="shared" si="17"/>
        <v>5000</v>
      </c>
      <c r="Q121" s="11">
        <f t="shared" si="30"/>
        <v>2521</v>
      </c>
      <c r="R121" s="59">
        <f t="shared" si="31"/>
        <v>7</v>
      </c>
      <c r="S121" s="59">
        <f t="shared" si="32"/>
        <v>11</v>
      </c>
      <c r="T121" s="11">
        <f t="shared" si="33"/>
        <v>1</v>
      </c>
      <c r="U121" s="138" t="s">
        <v>80</v>
      </c>
      <c r="V121" s="138" t="s">
        <v>801</v>
      </c>
      <c r="W121" s="138" t="s">
        <v>788</v>
      </c>
      <c r="X121" s="138" t="s">
        <v>788</v>
      </c>
      <c r="Y121" s="138" t="s">
        <v>111</v>
      </c>
      <c r="Z121" s="138" t="s">
        <v>98</v>
      </c>
      <c r="AA121" s="138" t="s">
        <v>99</v>
      </c>
      <c r="AB121" s="138" t="s">
        <v>4</v>
      </c>
      <c r="AC121" s="138" t="s">
        <v>104</v>
      </c>
      <c r="AD121" s="138" t="s">
        <v>119</v>
      </c>
      <c r="AE121" s="138" t="s">
        <v>105</v>
      </c>
      <c r="AF121" s="138" t="s">
        <v>438</v>
      </c>
      <c r="AG121" s="139">
        <v>5000</v>
      </c>
      <c r="AH121" s="139">
        <v>5000</v>
      </c>
      <c r="AI121" s="139">
        <v>0</v>
      </c>
      <c r="AJ121" s="139">
        <v>0</v>
      </c>
      <c r="AK121" s="139">
        <v>5000</v>
      </c>
      <c r="AL121" s="138" t="s">
        <v>86</v>
      </c>
      <c r="AM121" s="138" t="s">
        <v>86</v>
      </c>
      <c r="AN121" s="138" t="s">
        <v>86</v>
      </c>
      <c r="AO121" s="138" t="s">
        <v>86</v>
      </c>
      <c r="AP121" s="138" t="s">
        <v>86</v>
      </c>
      <c r="AQ121" s="138" t="s">
        <v>802</v>
      </c>
      <c r="AR121" s="138" t="s">
        <v>803</v>
      </c>
      <c r="AS121" s="138" t="s">
        <v>89</v>
      </c>
      <c r="AT121" s="138" t="s">
        <v>89</v>
      </c>
      <c r="AU121" s="138" t="s">
        <v>109</v>
      </c>
      <c r="AV121" s="138" t="s">
        <v>549</v>
      </c>
      <c r="AW121" s="138" t="s">
        <v>92</v>
      </c>
      <c r="AX121" s="138" t="s">
        <v>103</v>
      </c>
      <c r="AY121" s="138">
        <v>0</v>
      </c>
      <c r="AZ121" s="138">
        <v>0</v>
      </c>
      <c r="BA121" s="138" t="s">
        <v>86</v>
      </c>
      <c r="BB121" s="140" t="s">
        <v>804</v>
      </c>
      <c r="BC121" s="138" t="s">
        <v>86</v>
      </c>
    </row>
    <row r="122" spans="1:55" ht="14.25" customHeight="1">
      <c r="A122" t="str">
        <f>IFERROR(VLOOKUP(AV122,Nómina!B:E,4,0),"")</f>
        <v>CLAUDIA ESTRELLA ESPINOZA CANIUQUEO</v>
      </c>
      <c r="B122" t="str">
        <f>IFERROR(VLOOKUP(A122,Nómina!E:F,2,0),"")</f>
        <v>13441148-1</v>
      </c>
      <c r="C122" s="30">
        <f t="shared" si="18"/>
        <v>22689</v>
      </c>
      <c r="D122" t="str">
        <f t="shared" si="19"/>
        <v>2026-07-11</v>
      </c>
      <c r="E122" t="str">
        <f t="shared" si="20"/>
        <v>B2C</v>
      </c>
      <c r="F122" t="str">
        <f t="shared" si="21"/>
        <v>Masaje</v>
      </c>
      <c r="G122" t="str">
        <f t="shared" si="22"/>
        <v>Individual</v>
      </c>
      <c r="H122" t="str">
        <f t="shared" si="23"/>
        <v>60min</v>
      </c>
      <c r="I122" t="str">
        <f t="shared" si="24"/>
        <v>Relajante</v>
      </c>
      <c r="J122" t="str">
        <f t="shared" si="25"/>
        <v>VITACURA</v>
      </c>
      <c r="K122" t="str">
        <f t="shared" si="26"/>
        <v>Ninguno</v>
      </c>
      <c r="L122">
        <f t="shared" si="27"/>
        <v>0</v>
      </c>
      <c r="M122">
        <f t="shared" si="28"/>
        <v>0</v>
      </c>
      <c r="N122" t="str">
        <f t="shared" si="29"/>
        <v/>
      </c>
      <c r="O122" s="10" t="str">
        <f>+VLOOKUP(Z122,listas!$B:$C,2,0)</f>
        <v>B2C</v>
      </c>
      <c r="P122" s="11">
        <f t="shared" si="17"/>
        <v>45000</v>
      </c>
      <c r="Q122" s="11">
        <f t="shared" si="30"/>
        <v>22689</v>
      </c>
      <c r="R122" s="59">
        <f t="shared" si="31"/>
        <v>7</v>
      </c>
      <c r="S122" s="59">
        <f t="shared" si="32"/>
        <v>11</v>
      </c>
      <c r="T122" s="11">
        <f t="shared" si="33"/>
        <v>1</v>
      </c>
      <c r="U122" s="120" t="s">
        <v>80</v>
      </c>
      <c r="V122" s="120" t="s">
        <v>805</v>
      </c>
      <c r="W122" s="120" t="s">
        <v>788</v>
      </c>
      <c r="X122" s="120" t="s">
        <v>788</v>
      </c>
      <c r="Y122" s="120" t="s">
        <v>111</v>
      </c>
      <c r="Z122" s="120" t="s">
        <v>98</v>
      </c>
      <c r="AA122" s="120" t="s">
        <v>99</v>
      </c>
      <c r="AB122" s="120" t="s">
        <v>4</v>
      </c>
      <c r="AC122" s="120" t="s">
        <v>82</v>
      </c>
      <c r="AD122" s="120" t="s">
        <v>83</v>
      </c>
      <c r="AE122" s="120" t="s">
        <v>84</v>
      </c>
      <c r="AF122" s="120" t="s">
        <v>85</v>
      </c>
      <c r="AG122" s="133">
        <v>45000</v>
      </c>
      <c r="AH122" s="133">
        <v>45000</v>
      </c>
      <c r="AI122" s="133">
        <v>0</v>
      </c>
      <c r="AJ122" s="133">
        <v>0</v>
      </c>
      <c r="AK122" s="133">
        <v>27000</v>
      </c>
      <c r="AL122" s="120" t="s">
        <v>86</v>
      </c>
      <c r="AM122" s="120" t="s">
        <v>86</v>
      </c>
      <c r="AN122" s="120" t="s">
        <v>86</v>
      </c>
      <c r="AO122" s="120" t="s">
        <v>86</v>
      </c>
      <c r="AP122" s="120" t="s">
        <v>86</v>
      </c>
      <c r="AQ122" s="120" t="s">
        <v>806</v>
      </c>
      <c r="AR122" s="120" t="s">
        <v>807</v>
      </c>
      <c r="AS122" s="120" t="s">
        <v>115</v>
      </c>
      <c r="AT122" s="120" t="s">
        <v>115</v>
      </c>
      <c r="AU122" s="120" t="s">
        <v>136</v>
      </c>
      <c r="AV122" s="120" t="s">
        <v>8</v>
      </c>
      <c r="AW122" s="120" t="s">
        <v>92</v>
      </c>
      <c r="AX122" s="120" t="s">
        <v>103</v>
      </c>
      <c r="AY122" s="120">
        <v>0</v>
      </c>
      <c r="AZ122" s="120">
        <v>0</v>
      </c>
      <c r="BA122" s="120" t="s">
        <v>86</v>
      </c>
      <c r="BB122" s="134" t="s">
        <v>808</v>
      </c>
      <c r="BC122" s="120" t="s">
        <v>86</v>
      </c>
    </row>
    <row r="123" spans="1:55" ht="14.25" customHeight="1">
      <c r="A123" t="str">
        <f>IFERROR(VLOOKUP(AV123,Nómina!B:E,4,0),"")</f>
        <v>CLAUDIA ESTRELLA ESPINOZA CANIUQUEO</v>
      </c>
      <c r="B123" t="str">
        <f>IFERROR(VLOOKUP(A123,Nómina!E:F,2,0),"")</f>
        <v>13441148-1</v>
      </c>
      <c r="C123" s="30">
        <f t="shared" si="18"/>
        <v>2521</v>
      </c>
      <c r="D123" t="str">
        <f t="shared" si="19"/>
        <v>2026-07-11</v>
      </c>
      <c r="E123" t="str">
        <f t="shared" si="20"/>
        <v>B2C</v>
      </c>
      <c r="F123" t="str">
        <f t="shared" si="21"/>
        <v>Extra</v>
      </c>
      <c r="G123" t="str">
        <f t="shared" si="22"/>
        <v>Individual</v>
      </c>
      <c r="H123" t="str">
        <f t="shared" si="23"/>
        <v>-</v>
      </c>
      <c r="I123" t="str">
        <f t="shared" si="24"/>
        <v>Extra por festivo o fin de semana</v>
      </c>
      <c r="J123" t="str">
        <f t="shared" si="25"/>
        <v>VITACURA</v>
      </c>
      <c r="K123" t="str">
        <f t="shared" si="26"/>
        <v>Ninguno</v>
      </c>
      <c r="L123">
        <f t="shared" si="27"/>
        <v>0</v>
      </c>
      <c r="M123">
        <f t="shared" si="28"/>
        <v>0</v>
      </c>
      <c r="N123" t="str">
        <f t="shared" si="29"/>
        <v/>
      </c>
      <c r="O123" s="10" t="str">
        <f>+VLOOKUP(Z123,listas!$B:$C,2,0)</f>
        <v>B2C</v>
      </c>
      <c r="P123" s="11">
        <f t="shared" si="17"/>
        <v>5000</v>
      </c>
      <c r="Q123" s="11">
        <f t="shared" si="30"/>
        <v>2521</v>
      </c>
      <c r="R123" s="59">
        <f t="shared" si="31"/>
        <v>7</v>
      </c>
      <c r="S123" s="59">
        <f t="shared" si="32"/>
        <v>11</v>
      </c>
      <c r="T123" s="11">
        <f t="shared" si="33"/>
        <v>1</v>
      </c>
      <c r="U123" s="138" t="s">
        <v>80</v>
      </c>
      <c r="V123" s="138" t="s">
        <v>805</v>
      </c>
      <c r="W123" s="138" t="s">
        <v>788</v>
      </c>
      <c r="X123" s="138" t="s">
        <v>788</v>
      </c>
      <c r="Y123" s="138" t="s">
        <v>111</v>
      </c>
      <c r="Z123" s="138" t="s">
        <v>98</v>
      </c>
      <c r="AA123" s="138" t="s">
        <v>99</v>
      </c>
      <c r="AB123" s="138" t="s">
        <v>4</v>
      </c>
      <c r="AC123" s="138" t="s">
        <v>104</v>
      </c>
      <c r="AD123" s="138" t="s">
        <v>83</v>
      </c>
      <c r="AE123" s="138" t="s">
        <v>105</v>
      </c>
      <c r="AF123" s="138" t="s">
        <v>438</v>
      </c>
      <c r="AG123" s="139">
        <v>5000</v>
      </c>
      <c r="AH123" s="139">
        <v>5000</v>
      </c>
      <c r="AI123" s="139">
        <v>0</v>
      </c>
      <c r="AJ123" s="139">
        <v>0</v>
      </c>
      <c r="AK123" s="139">
        <v>5000</v>
      </c>
      <c r="AL123" s="138" t="s">
        <v>86</v>
      </c>
      <c r="AM123" s="138" t="s">
        <v>86</v>
      </c>
      <c r="AN123" s="138" t="s">
        <v>86</v>
      </c>
      <c r="AO123" s="138" t="s">
        <v>86</v>
      </c>
      <c r="AP123" s="138" t="s">
        <v>86</v>
      </c>
      <c r="AQ123" s="138" t="s">
        <v>806</v>
      </c>
      <c r="AR123" s="138" t="s">
        <v>807</v>
      </c>
      <c r="AS123" s="138" t="s">
        <v>115</v>
      </c>
      <c r="AT123" s="138" t="s">
        <v>115</v>
      </c>
      <c r="AU123" s="138" t="s">
        <v>136</v>
      </c>
      <c r="AV123" s="138" t="s">
        <v>8</v>
      </c>
      <c r="AW123" s="138" t="s">
        <v>92</v>
      </c>
      <c r="AX123" s="138" t="s">
        <v>103</v>
      </c>
      <c r="AY123" s="138">
        <v>0</v>
      </c>
      <c r="AZ123" s="138">
        <v>0</v>
      </c>
      <c r="BA123" s="138" t="s">
        <v>86</v>
      </c>
      <c r="BB123" s="140" t="s">
        <v>808</v>
      </c>
      <c r="BC123" s="138" t="s">
        <v>86</v>
      </c>
    </row>
    <row r="124" spans="1:55" ht="14.25" customHeight="1">
      <c r="A124" t="str">
        <f>IFERROR(VLOOKUP(AV124,Nómina!B:E,4,0),"")</f>
        <v>ALEJANDRA PAZ SANCHEZ LENERO</v>
      </c>
      <c r="B124" t="str">
        <f>IFERROR(VLOOKUP(A124,Nómina!E:F,2,0),"")</f>
        <v>13715658-K</v>
      </c>
      <c r="C124" s="30">
        <f t="shared" si="18"/>
        <v>22689</v>
      </c>
      <c r="D124" t="str">
        <f t="shared" si="19"/>
        <v>2026-07-11</v>
      </c>
      <c r="E124" t="str">
        <f t="shared" si="20"/>
        <v>B2C</v>
      </c>
      <c r="F124" t="str">
        <f t="shared" si="21"/>
        <v>Masaje</v>
      </c>
      <c r="G124" t="str">
        <f t="shared" si="22"/>
        <v>Pareja</v>
      </c>
      <c r="H124" t="str">
        <f t="shared" si="23"/>
        <v>60min</v>
      </c>
      <c r="I124" t="str">
        <f t="shared" si="24"/>
        <v>Tejido profundo</v>
      </c>
      <c r="J124" t="str">
        <f t="shared" si="25"/>
        <v>LAS CONDES</v>
      </c>
      <c r="K124" t="str">
        <f t="shared" si="26"/>
        <v>Ninguno</v>
      </c>
      <c r="L124">
        <f t="shared" si="27"/>
        <v>0</v>
      </c>
      <c r="M124">
        <f t="shared" si="28"/>
        <v>0</v>
      </c>
      <c r="N124" t="str">
        <f t="shared" si="29"/>
        <v/>
      </c>
      <c r="O124" s="10" t="str">
        <f>+VLOOKUP(Z124,listas!$B:$C,2,0)</f>
        <v>B2C</v>
      </c>
      <c r="P124" s="11">
        <f t="shared" si="17"/>
        <v>45000</v>
      </c>
      <c r="Q124" s="11">
        <f t="shared" si="30"/>
        <v>22689</v>
      </c>
      <c r="R124" s="59">
        <f t="shared" si="31"/>
        <v>7</v>
      </c>
      <c r="S124" s="59">
        <f t="shared" si="32"/>
        <v>11</v>
      </c>
      <c r="T124" s="11">
        <f t="shared" si="33"/>
        <v>1</v>
      </c>
      <c r="U124" s="120" t="s">
        <v>80</v>
      </c>
      <c r="V124" s="120" t="s">
        <v>809</v>
      </c>
      <c r="W124" s="120" t="s">
        <v>788</v>
      </c>
      <c r="X124" s="120" t="s">
        <v>788</v>
      </c>
      <c r="Y124" s="120" t="s">
        <v>148</v>
      </c>
      <c r="Z124" s="120" t="s">
        <v>98</v>
      </c>
      <c r="AA124" s="120" t="s">
        <v>99</v>
      </c>
      <c r="AB124" s="120" t="s">
        <v>4</v>
      </c>
      <c r="AC124" s="120" t="s">
        <v>82</v>
      </c>
      <c r="AD124" s="120" t="s">
        <v>119</v>
      </c>
      <c r="AE124" s="120" t="s">
        <v>84</v>
      </c>
      <c r="AF124" s="120" t="s">
        <v>123</v>
      </c>
      <c r="AG124" s="133">
        <v>45000</v>
      </c>
      <c r="AH124" s="133">
        <v>45000</v>
      </c>
      <c r="AI124" s="133">
        <v>0</v>
      </c>
      <c r="AJ124" s="133">
        <v>0</v>
      </c>
      <c r="AK124" s="133">
        <v>27000</v>
      </c>
      <c r="AL124" s="120" t="s">
        <v>86</v>
      </c>
      <c r="AM124" s="120" t="s">
        <v>86</v>
      </c>
      <c r="AN124" s="120" t="s">
        <v>86</v>
      </c>
      <c r="AO124" s="120" t="s">
        <v>86</v>
      </c>
      <c r="AP124" s="120" t="s">
        <v>86</v>
      </c>
      <c r="AQ124" s="120" t="s">
        <v>802</v>
      </c>
      <c r="AR124" s="120" t="s">
        <v>803</v>
      </c>
      <c r="AS124" s="120" t="s">
        <v>89</v>
      </c>
      <c r="AT124" s="120" t="s">
        <v>89</v>
      </c>
      <c r="AU124" s="120" t="s">
        <v>154</v>
      </c>
      <c r="AV124" s="120" t="s">
        <v>511</v>
      </c>
      <c r="AW124" s="120" t="s">
        <v>92</v>
      </c>
      <c r="AX124" s="120" t="s">
        <v>103</v>
      </c>
      <c r="AY124" s="120">
        <v>0</v>
      </c>
      <c r="AZ124" s="120">
        <v>0</v>
      </c>
      <c r="BA124" s="120" t="s">
        <v>86</v>
      </c>
      <c r="BB124" s="134" t="s">
        <v>810</v>
      </c>
      <c r="BC124" s="120" t="s">
        <v>86</v>
      </c>
    </row>
    <row r="125" spans="1:55" ht="14.25" customHeight="1">
      <c r="A125" t="str">
        <f>IFERROR(VLOOKUP(AV125,Nómina!B:E,4,0),"")</f>
        <v>GENESIS DANIELA PIMENTEL HERRERA</v>
      </c>
      <c r="B125" t="str">
        <f>IFERROR(VLOOKUP(A125,Nómina!E:F,2,0),"")</f>
        <v>26598096-1</v>
      </c>
      <c r="C125" s="30">
        <f t="shared" si="18"/>
        <v>22689</v>
      </c>
      <c r="D125" t="str">
        <f t="shared" si="19"/>
        <v>2026-07-11</v>
      </c>
      <c r="E125" t="str">
        <f t="shared" si="20"/>
        <v>B2C</v>
      </c>
      <c r="F125" t="str">
        <f t="shared" si="21"/>
        <v>Masaje</v>
      </c>
      <c r="G125" t="str">
        <f t="shared" si="22"/>
        <v>Pareja</v>
      </c>
      <c r="H125" t="str">
        <f t="shared" si="23"/>
        <v>60min</v>
      </c>
      <c r="I125" t="str">
        <f t="shared" si="24"/>
        <v>Relajante</v>
      </c>
      <c r="J125" t="str">
        <f t="shared" si="25"/>
        <v>LAS CONDES</v>
      </c>
      <c r="K125" t="str">
        <f t="shared" si="26"/>
        <v>Ninguno</v>
      </c>
      <c r="L125">
        <f t="shared" si="27"/>
        <v>0</v>
      </c>
      <c r="M125">
        <f t="shared" si="28"/>
        <v>0</v>
      </c>
      <c r="N125" t="str">
        <f t="shared" si="29"/>
        <v/>
      </c>
      <c r="O125" s="10" t="str">
        <f>+VLOOKUP(Z125,listas!$B:$C,2,0)</f>
        <v>B2C</v>
      </c>
      <c r="P125" s="11">
        <f t="shared" si="17"/>
        <v>45000</v>
      </c>
      <c r="Q125" s="11">
        <f t="shared" si="30"/>
        <v>22689</v>
      </c>
      <c r="R125" s="59">
        <f t="shared" si="31"/>
        <v>7</v>
      </c>
      <c r="S125" s="59">
        <f t="shared" si="32"/>
        <v>11</v>
      </c>
      <c r="T125" s="11">
        <f t="shared" si="33"/>
        <v>1</v>
      </c>
      <c r="U125" s="120" t="s">
        <v>80</v>
      </c>
      <c r="V125" s="120" t="s">
        <v>809</v>
      </c>
      <c r="W125" s="120" t="s">
        <v>788</v>
      </c>
      <c r="X125" s="120" t="s">
        <v>788</v>
      </c>
      <c r="Y125" s="120" t="s">
        <v>148</v>
      </c>
      <c r="Z125" s="120" t="s">
        <v>98</v>
      </c>
      <c r="AA125" s="120" t="s">
        <v>99</v>
      </c>
      <c r="AB125" s="120" t="s">
        <v>4</v>
      </c>
      <c r="AC125" s="120" t="s">
        <v>82</v>
      </c>
      <c r="AD125" s="120" t="s">
        <v>119</v>
      </c>
      <c r="AE125" s="120" t="s">
        <v>84</v>
      </c>
      <c r="AF125" s="120" t="s">
        <v>85</v>
      </c>
      <c r="AG125" s="133">
        <v>45000</v>
      </c>
      <c r="AH125" s="133">
        <v>45000</v>
      </c>
      <c r="AI125" s="133">
        <v>0</v>
      </c>
      <c r="AJ125" s="133">
        <v>0</v>
      </c>
      <c r="AK125" s="133">
        <v>27000</v>
      </c>
      <c r="AL125" s="120" t="s">
        <v>86</v>
      </c>
      <c r="AM125" s="120" t="s">
        <v>86</v>
      </c>
      <c r="AN125" s="120" t="s">
        <v>86</v>
      </c>
      <c r="AO125" s="120" t="s">
        <v>86</v>
      </c>
      <c r="AP125" s="120" t="s">
        <v>86</v>
      </c>
      <c r="AQ125" s="120" t="s">
        <v>802</v>
      </c>
      <c r="AR125" s="120" t="s">
        <v>803</v>
      </c>
      <c r="AS125" s="120" t="s">
        <v>89</v>
      </c>
      <c r="AT125" s="120" t="s">
        <v>89</v>
      </c>
      <c r="AU125" s="120" t="s">
        <v>141</v>
      </c>
      <c r="AV125" s="120" t="s">
        <v>552</v>
      </c>
      <c r="AW125" s="120" t="s">
        <v>92</v>
      </c>
      <c r="AX125" s="120" t="s">
        <v>103</v>
      </c>
      <c r="AY125" s="120">
        <v>0</v>
      </c>
      <c r="AZ125" s="120">
        <v>0</v>
      </c>
      <c r="BA125" s="120" t="s">
        <v>86</v>
      </c>
      <c r="BB125" s="134" t="s">
        <v>810</v>
      </c>
      <c r="BC125" s="120" t="s">
        <v>86</v>
      </c>
    </row>
    <row r="126" spans="1:55" ht="14.25" customHeight="1">
      <c r="A126" t="str">
        <f>IFERROR(VLOOKUP(AV126,Nómina!B:E,4,0),"")</f>
        <v>ALEJANDRA PAZ SANCHEZ LENERO</v>
      </c>
      <c r="B126" t="str">
        <f>IFERROR(VLOOKUP(A126,Nómina!E:F,2,0),"")</f>
        <v>13715658-K</v>
      </c>
      <c r="C126" s="30">
        <f t="shared" si="18"/>
        <v>5042</v>
      </c>
      <c r="D126" t="str">
        <f t="shared" si="19"/>
        <v>2026-07-11</v>
      </c>
      <c r="E126" t="str">
        <f t="shared" si="20"/>
        <v>B2C</v>
      </c>
      <c r="F126" t="str">
        <f t="shared" si="21"/>
        <v>Addon</v>
      </c>
      <c r="G126" t="str">
        <f t="shared" si="22"/>
        <v>Pareja</v>
      </c>
      <c r="H126" t="str">
        <f t="shared" si="23"/>
        <v>15min</v>
      </c>
      <c r="I126" t="str">
        <f t="shared" si="24"/>
        <v>Reflexología</v>
      </c>
      <c r="J126" t="str">
        <f t="shared" si="25"/>
        <v>LAS CONDES</v>
      </c>
      <c r="K126" t="str">
        <f t="shared" si="26"/>
        <v>Ninguno</v>
      </c>
      <c r="L126">
        <f t="shared" si="27"/>
        <v>0</v>
      </c>
      <c r="M126">
        <f t="shared" si="28"/>
        <v>0</v>
      </c>
      <c r="N126" t="str">
        <f t="shared" si="29"/>
        <v/>
      </c>
      <c r="O126" s="10" t="str">
        <f>+VLOOKUP(Z126,listas!$B:$C,2,0)</f>
        <v>B2C</v>
      </c>
      <c r="P126" s="11">
        <f t="shared" si="17"/>
        <v>10000</v>
      </c>
      <c r="Q126" s="11">
        <f t="shared" si="30"/>
        <v>5042</v>
      </c>
      <c r="R126" s="59">
        <f t="shared" si="31"/>
        <v>7</v>
      </c>
      <c r="S126" s="59">
        <f t="shared" si="32"/>
        <v>11</v>
      </c>
      <c r="T126" s="11">
        <f t="shared" si="33"/>
        <v>1</v>
      </c>
      <c r="U126" s="135" t="s">
        <v>80</v>
      </c>
      <c r="V126" s="135" t="s">
        <v>809</v>
      </c>
      <c r="W126" s="135" t="s">
        <v>788</v>
      </c>
      <c r="X126" s="135" t="s">
        <v>788</v>
      </c>
      <c r="Y126" s="135" t="s">
        <v>148</v>
      </c>
      <c r="Z126" s="135" t="s">
        <v>98</v>
      </c>
      <c r="AA126" s="135" t="s">
        <v>99</v>
      </c>
      <c r="AB126" s="135" t="s">
        <v>4</v>
      </c>
      <c r="AC126" s="135" t="s">
        <v>93</v>
      </c>
      <c r="AD126" s="135" t="s">
        <v>119</v>
      </c>
      <c r="AE126" s="135" t="s">
        <v>94</v>
      </c>
      <c r="AF126" s="135" t="s">
        <v>95</v>
      </c>
      <c r="AG126" s="136">
        <v>10000</v>
      </c>
      <c r="AH126" s="136">
        <v>10000</v>
      </c>
      <c r="AI126" s="136">
        <v>0</v>
      </c>
      <c r="AJ126" s="136">
        <v>0</v>
      </c>
      <c r="AK126" s="136">
        <v>6000</v>
      </c>
      <c r="AL126" s="135" t="s">
        <v>86</v>
      </c>
      <c r="AM126" s="135" t="s">
        <v>86</v>
      </c>
      <c r="AN126" s="135" t="s">
        <v>86</v>
      </c>
      <c r="AO126" s="135" t="s">
        <v>86</v>
      </c>
      <c r="AP126" s="135" t="s">
        <v>86</v>
      </c>
      <c r="AQ126" s="135" t="s">
        <v>802</v>
      </c>
      <c r="AR126" s="135" t="s">
        <v>803</v>
      </c>
      <c r="AS126" s="135" t="s">
        <v>89</v>
      </c>
      <c r="AT126" s="135" t="s">
        <v>89</v>
      </c>
      <c r="AU126" s="135" t="s">
        <v>154</v>
      </c>
      <c r="AV126" s="135" t="s">
        <v>511</v>
      </c>
      <c r="AW126" s="135" t="s">
        <v>92</v>
      </c>
      <c r="AX126" s="135" t="s">
        <v>103</v>
      </c>
      <c r="AY126" s="135">
        <v>0</v>
      </c>
      <c r="AZ126" s="135">
        <v>0</v>
      </c>
      <c r="BA126" s="135" t="s">
        <v>86</v>
      </c>
      <c r="BB126" s="137" t="s">
        <v>810</v>
      </c>
      <c r="BC126" s="135" t="s">
        <v>86</v>
      </c>
    </row>
    <row r="127" spans="1:55" ht="14.25" customHeight="1">
      <c r="A127" t="str">
        <f>IFERROR(VLOOKUP(AV127,Nómina!B:E,4,0),"")</f>
        <v>ALEJANDRA PAZ SANCHEZ LENERO</v>
      </c>
      <c r="B127" t="str">
        <f>IFERROR(VLOOKUP(A127,Nómina!E:F,2,0),"")</f>
        <v>13715658-K</v>
      </c>
      <c r="C127" s="30">
        <f t="shared" si="18"/>
        <v>7563</v>
      </c>
      <c r="D127" t="str">
        <f t="shared" si="19"/>
        <v>2026-07-11</v>
      </c>
      <c r="E127" t="str">
        <f t="shared" si="20"/>
        <v>B2C</v>
      </c>
      <c r="F127" t="str">
        <f t="shared" si="21"/>
        <v>Addon</v>
      </c>
      <c r="G127" t="str">
        <f t="shared" si="22"/>
        <v>Pareja</v>
      </c>
      <c r="H127" t="str">
        <f t="shared" si="23"/>
        <v>15min</v>
      </c>
      <c r="I127" t="str">
        <f t="shared" si="24"/>
        <v>Head Massage</v>
      </c>
      <c r="J127" t="str">
        <f t="shared" si="25"/>
        <v>LAS CONDES</v>
      </c>
      <c r="K127" t="str">
        <f t="shared" si="26"/>
        <v>Ninguno</v>
      </c>
      <c r="L127">
        <f t="shared" si="27"/>
        <v>0</v>
      </c>
      <c r="M127">
        <f t="shared" si="28"/>
        <v>0</v>
      </c>
      <c r="N127" t="str">
        <f t="shared" si="29"/>
        <v/>
      </c>
      <c r="O127" s="10" t="str">
        <f>+VLOOKUP(Z127,listas!$B:$C,2,0)</f>
        <v>B2C</v>
      </c>
      <c r="P127" s="11">
        <f t="shared" si="17"/>
        <v>15000</v>
      </c>
      <c r="Q127" s="11">
        <f t="shared" si="30"/>
        <v>7563</v>
      </c>
      <c r="R127" s="59">
        <f t="shared" si="31"/>
        <v>7</v>
      </c>
      <c r="S127" s="59">
        <f t="shared" si="32"/>
        <v>11</v>
      </c>
      <c r="T127" s="11">
        <f t="shared" si="33"/>
        <v>1</v>
      </c>
      <c r="U127" s="135" t="s">
        <v>80</v>
      </c>
      <c r="V127" s="135" t="s">
        <v>809</v>
      </c>
      <c r="W127" s="135" t="s">
        <v>788</v>
      </c>
      <c r="X127" s="135" t="s">
        <v>788</v>
      </c>
      <c r="Y127" s="135" t="s">
        <v>148</v>
      </c>
      <c r="Z127" s="135" t="s">
        <v>98</v>
      </c>
      <c r="AA127" s="135" t="s">
        <v>99</v>
      </c>
      <c r="AB127" s="135" t="s">
        <v>4</v>
      </c>
      <c r="AC127" s="135" t="s">
        <v>93</v>
      </c>
      <c r="AD127" s="135" t="s">
        <v>119</v>
      </c>
      <c r="AE127" s="135" t="s">
        <v>94</v>
      </c>
      <c r="AF127" s="135" t="s">
        <v>110</v>
      </c>
      <c r="AG127" s="136">
        <v>15000</v>
      </c>
      <c r="AH127" s="136">
        <v>15000</v>
      </c>
      <c r="AI127" s="136">
        <v>0</v>
      </c>
      <c r="AJ127" s="136">
        <v>0</v>
      </c>
      <c r="AK127" s="136">
        <v>7290</v>
      </c>
      <c r="AL127" s="135" t="s">
        <v>86</v>
      </c>
      <c r="AM127" s="135" t="s">
        <v>86</v>
      </c>
      <c r="AN127" s="135" t="s">
        <v>86</v>
      </c>
      <c r="AO127" s="135" t="s">
        <v>86</v>
      </c>
      <c r="AP127" s="135" t="s">
        <v>86</v>
      </c>
      <c r="AQ127" s="135" t="s">
        <v>802</v>
      </c>
      <c r="AR127" s="135" t="s">
        <v>803</v>
      </c>
      <c r="AS127" s="135" t="s">
        <v>89</v>
      </c>
      <c r="AT127" s="135" t="s">
        <v>89</v>
      </c>
      <c r="AU127" s="135" t="s">
        <v>154</v>
      </c>
      <c r="AV127" s="135" t="s">
        <v>511</v>
      </c>
      <c r="AW127" s="135" t="s">
        <v>92</v>
      </c>
      <c r="AX127" s="135" t="s">
        <v>103</v>
      </c>
      <c r="AY127" s="135">
        <v>0</v>
      </c>
      <c r="AZ127" s="135">
        <v>0</v>
      </c>
      <c r="BA127" s="135" t="s">
        <v>86</v>
      </c>
      <c r="BB127" s="137" t="s">
        <v>810</v>
      </c>
      <c r="BC127" s="135" t="s">
        <v>86</v>
      </c>
    </row>
    <row r="128" spans="1:55" ht="14.25" customHeight="1">
      <c r="A128" t="str">
        <f>IFERROR(VLOOKUP(AV128,Nómina!B:E,4,0),"")</f>
        <v>ALEJANDRA PAZ SANCHEZ LENERO</v>
      </c>
      <c r="B128" t="str">
        <f>IFERROR(VLOOKUP(A128,Nómina!E:F,2,0),"")</f>
        <v>13715658-K</v>
      </c>
      <c r="C128" s="30">
        <f t="shared" si="18"/>
        <v>5042</v>
      </c>
      <c r="D128" t="str">
        <f t="shared" si="19"/>
        <v>2026-07-11</v>
      </c>
      <c r="E128" t="str">
        <f t="shared" si="20"/>
        <v>B2C</v>
      </c>
      <c r="F128" t="str">
        <f t="shared" si="21"/>
        <v>Addon</v>
      </c>
      <c r="G128" t="str">
        <f t="shared" si="22"/>
        <v>Pareja</v>
      </c>
      <c r="H128" t="str">
        <f t="shared" si="23"/>
        <v>15min</v>
      </c>
      <c r="I128" t="str">
        <f t="shared" si="24"/>
        <v>Reflexología</v>
      </c>
      <c r="J128" t="str">
        <f t="shared" si="25"/>
        <v>LAS CONDES</v>
      </c>
      <c r="K128" t="str">
        <f t="shared" si="26"/>
        <v>Ninguno</v>
      </c>
      <c r="L128">
        <f t="shared" si="27"/>
        <v>0</v>
      </c>
      <c r="M128">
        <f t="shared" si="28"/>
        <v>0</v>
      </c>
      <c r="N128" t="str">
        <f t="shared" si="29"/>
        <v/>
      </c>
      <c r="O128" s="10" t="str">
        <f>+VLOOKUP(Z128,listas!$B:$C,2,0)</f>
        <v>B2C</v>
      </c>
      <c r="P128" s="11">
        <f t="shared" si="17"/>
        <v>10000</v>
      </c>
      <c r="Q128" s="11">
        <f t="shared" si="30"/>
        <v>5042</v>
      </c>
      <c r="R128" s="59">
        <f t="shared" si="31"/>
        <v>7</v>
      </c>
      <c r="S128" s="59">
        <f t="shared" si="32"/>
        <v>11</v>
      </c>
      <c r="T128" s="11">
        <f t="shared" si="33"/>
        <v>1</v>
      </c>
      <c r="U128" s="135" t="s">
        <v>80</v>
      </c>
      <c r="V128" s="135" t="s">
        <v>809</v>
      </c>
      <c r="W128" s="135" t="s">
        <v>788</v>
      </c>
      <c r="X128" s="135" t="s">
        <v>788</v>
      </c>
      <c r="Y128" s="135" t="s">
        <v>148</v>
      </c>
      <c r="Z128" s="135" t="s">
        <v>98</v>
      </c>
      <c r="AA128" s="135" t="s">
        <v>99</v>
      </c>
      <c r="AB128" s="135" t="s">
        <v>4</v>
      </c>
      <c r="AC128" s="135" t="s">
        <v>93</v>
      </c>
      <c r="AD128" s="135" t="s">
        <v>119</v>
      </c>
      <c r="AE128" s="135" t="s">
        <v>94</v>
      </c>
      <c r="AF128" s="135" t="s">
        <v>95</v>
      </c>
      <c r="AG128" s="136">
        <v>10000</v>
      </c>
      <c r="AH128" s="136">
        <v>10000</v>
      </c>
      <c r="AI128" s="136">
        <v>0</v>
      </c>
      <c r="AJ128" s="136">
        <v>0</v>
      </c>
      <c r="AK128" s="136">
        <v>6000</v>
      </c>
      <c r="AL128" s="135" t="s">
        <v>86</v>
      </c>
      <c r="AM128" s="135" t="s">
        <v>86</v>
      </c>
      <c r="AN128" s="135" t="s">
        <v>86</v>
      </c>
      <c r="AO128" s="135" t="s">
        <v>86</v>
      </c>
      <c r="AP128" s="135" t="s">
        <v>86</v>
      </c>
      <c r="AQ128" s="135" t="s">
        <v>802</v>
      </c>
      <c r="AR128" s="135" t="s">
        <v>803</v>
      </c>
      <c r="AS128" s="135" t="s">
        <v>89</v>
      </c>
      <c r="AT128" s="135" t="s">
        <v>89</v>
      </c>
      <c r="AU128" s="135" t="s">
        <v>154</v>
      </c>
      <c r="AV128" s="135" t="s">
        <v>511</v>
      </c>
      <c r="AW128" s="135" t="s">
        <v>92</v>
      </c>
      <c r="AX128" s="135" t="s">
        <v>103</v>
      </c>
      <c r="AY128" s="135">
        <v>0</v>
      </c>
      <c r="AZ128" s="135">
        <v>0</v>
      </c>
      <c r="BA128" s="135" t="s">
        <v>86</v>
      </c>
      <c r="BB128" s="137" t="s">
        <v>810</v>
      </c>
      <c r="BC128" s="135" t="s">
        <v>86</v>
      </c>
    </row>
    <row r="129" spans="1:55" ht="14.25" customHeight="1">
      <c r="A129" t="str">
        <f>IFERROR(VLOOKUP(AV129,Nómina!B:E,4,0),"")</f>
        <v>ALEJANDRA PAZ SANCHEZ LENERO</v>
      </c>
      <c r="B129" t="str">
        <f>IFERROR(VLOOKUP(A129,Nómina!E:F,2,0),"")</f>
        <v>13715658-K</v>
      </c>
      <c r="C129" s="30">
        <f t="shared" si="18"/>
        <v>2521</v>
      </c>
      <c r="D129" t="str">
        <f t="shared" si="19"/>
        <v>2026-07-11</v>
      </c>
      <c r="E129" t="str">
        <f t="shared" si="20"/>
        <v>B2C</v>
      </c>
      <c r="F129" t="str">
        <f t="shared" si="21"/>
        <v>Extra</v>
      </c>
      <c r="G129" t="str">
        <f t="shared" si="22"/>
        <v>Pareja</v>
      </c>
      <c r="H129" t="str">
        <f t="shared" si="23"/>
        <v>-</v>
      </c>
      <c r="I129" t="str">
        <f t="shared" si="24"/>
        <v>Extra por festivo o fin de semana</v>
      </c>
      <c r="J129" t="str">
        <f t="shared" si="25"/>
        <v>LAS CONDES</v>
      </c>
      <c r="K129" t="str">
        <f t="shared" si="26"/>
        <v>Ninguno</v>
      </c>
      <c r="L129">
        <f t="shared" si="27"/>
        <v>0</v>
      </c>
      <c r="M129">
        <f t="shared" si="28"/>
        <v>0</v>
      </c>
      <c r="N129" t="str">
        <f t="shared" si="29"/>
        <v/>
      </c>
      <c r="O129" s="10" t="str">
        <f>+VLOOKUP(Z129,listas!$B:$C,2,0)</f>
        <v>B2C</v>
      </c>
      <c r="P129" s="11">
        <f t="shared" si="17"/>
        <v>5000</v>
      </c>
      <c r="Q129" s="11">
        <f t="shared" si="30"/>
        <v>2521</v>
      </c>
      <c r="R129" s="59">
        <f t="shared" si="31"/>
        <v>7</v>
      </c>
      <c r="S129" s="59">
        <f t="shared" si="32"/>
        <v>11</v>
      </c>
      <c r="T129" s="11">
        <f t="shared" si="33"/>
        <v>1</v>
      </c>
      <c r="U129" s="138" t="s">
        <v>80</v>
      </c>
      <c r="V129" s="138" t="s">
        <v>809</v>
      </c>
      <c r="W129" s="138" t="s">
        <v>788</v>
      </c>
      <c r="X129" s="138" t="s">
        <v>788</v>
      </c>
      <c r="Y129" s="138" t="s">
        <v>148</v>
      </c>
      <c r="Z129" s="138" t="s">
        <v>98</v>
      </c>
      <c r="AA129" s="138" t="s">
        <v>99</v>
      </c>
      <c r="AB129" s="138" t="s">
        <v>4</v>
      </c>
      <c r="AC129" s="138" t="s">
        <v>104</v>
      </c>
      <c r="AD129" s="138" t="s">
        <v>119</v>
      </c>
      <c r="AE129" s="138" t="s">
        <v>105</v>
      </c>
      <c r="AF129" s="138" t="s">
        <v>438</v>
      </c>
      <c r="AG129" s="139">
        <v>5000</v>
      </c>
      <c r="AH129" s="139">
        <v>5000</v>
      </c>
      <c r="AI129" s="139">
        <v>0</v>
      </c>
      <c r="AJ129" s="139">
        <v>0</v>
      </c>
      <c r="AK129" s="139">
        <v>5000</v>
      </c>
      <c r="AL129" s="138" t="s">
        <v>86</v>
      </c>
      <c r="AM129" s="138" t="s">
        <v>86</v>
      </c>
      <c r="AN129" s="138" t="s">
        <v>86</v>
      </c>
      <c r="AO129" s="138" t="s">
        <v>86</v>
      </c>
      <c r="AP129" s="138" t="s">
        <v>86</v>
      </c>
      <c r="AQ129" s="138" t="s">
        <v>802</v>
      </c>
      <c r="AR129" s="138" t="s">
        <v>803</v>
      </c>
      <c r="AS129" s="138" t="s">
        <v>89</v>
      </c>
      <c r="AT129" s="138" t="s">
        <v>89</v>
      </c>
      <c r="AU129" s="138" t="s">
        <v>154</v>
      </c>
      <c r="AV129" s="138" t="s">
        <v>511</v>
      </c>
      <c r="AW129" s="138" t="s">
        <v>92</v>
      </c>
      <c r="AX129" s="138" t="s">
        <v>103</v>
      </c>
      <c r="AY129" s="138">
        <v>0</v>
      </c>
      <c r="AZ129" s="138">
        <v>0</v>
      </c>
      <c r="BA129" s="138" t="s">
        <v>86</v>
      </c>
      <c r="BB129" s="140" t="s">
        <v>810</v>
      </c>
      <c r="BC129" s="138" t="s">
        <v>86</v>
      </c>
    </row>
    <row r="130" spans="1:55" ht="14.25" customHeight="1">
      <c r="A130" t="str">
        <f>IFERROR(VLOOKUP(AV130,Nómina!B:E,4,0),"")</f>
        <v>GENESIS DANIELA PIMENTEL HERRERA</v>
      </c>
      <c r="B130" t="str">
        <f>IFERROR(VLOOKUP(A130,Nómina!E:F,2,0),"")</f>
        <v>26598096-1</v>
      </c>
      <c r="C130" s="30">
        <f t="shared" si="18"/>
        <v>2521</v>
      </c>
      <c r="D130" t="str">
        <f t="shared" si="19"/>
        <v>2026-07-11</v>
      </c>
      <c r="E130" t="str">
        <f t="shared" si="20"/>
        <v>B2C</v>
      </c>
      <c r="F130" t="str">
        <f t="shared" si="21"/>
        <v>Extra</v>
      </c>
      <c r="G130" t="str">
        <f t="shared" si="22"/>
        <v>Pareja</v>
      </c>
      <c r="H130" t="str">
        <f t="shared" si="23"/>
        <v>-</v>
      </c>
      <c r="I130" t="str">
        <f t="shared" si="24"/>
        <v>Extra por festivo o fin de semana</v>
      </c>
      <c r="J130" t="str">
        <f t="shared" si="25"/>
        <v>LAS CONDES</v>
      </c>
      <c r="K130" t="str">
        <f t="shared" si="26"/>
        <v>Ninguno</v>
      </c>
      <c r="L130">
        <f t="shared" si="27"/>
        <v>0</v>
      </c>
      <c r="M130">
        <f t="shared" si="28"/>
        <v>0</v>
      </c>
      <c r="N130" t="str">
        <f t="shared" si="29"/>
        <v/>
      </c>
      <c r="O130" s="10" t="str">
        <f>+VLOOKUP(Z130,listas!$B:$C,2,0)</f>
        <v>B2C</v>
      </c>
      <c r="P130" s="11">
        <f t="shared" si="17"/>
        <v>5000</v>
      </c>
      <c r="Q130" s="11">
        <f t="shared" si="30"/>
        <v>2521</v>
      </c>
      <c r="R130" s="59">
        <f t="shared" si="31"/>
        <v>7</v>
      </c>
      <c r="S130" s="59">
        <f t="shared" si="32"/>
        <v>11</v>
      </c>
      <c r="T130" s="11">
        <f t="shared" si="33"/>
        <v>1</v>
      </c>
      <c r="U130" s="138" t="s">
        <v>80</v>
      </c>
      <c r="V130" s="138" t="s">
        <v>809</v>
      </c>
      <c r="W130" s="138" t="s">
        <v>788</v>
      </c>
      <c r="X130" s="138" t="s">
        <v>788</v>
      </c>
      <c r="Y130" s="138" t="s">
        <v>148</v>
      </c>
      <c r="Z130" s="138" t="s">
        <v>98</v>
      </c>
      <c r="AA130" s="138" t="s">
        <v>99</v>
      </c>
      <c r="AB130" s="138" t="s">
        <v>4</v>
      </c>
      <c r="AC130" s="138" t="s">
        <v>104</v>
      </c>
      <c r="AD130" s="138" t="s">
        <v>119</v>
      </c>
      <c r="AE130" s="138" t="s">
        <v>105</v>
      </c>
      <c r="AF130" s="138" t="s">
        <v>438</v>
      </c>
      <c r="AG130" s="139">
        <v>5000</v>
      </c>
      <c r="AH130" s="139">
        <v>5000</v>
      </c>
      <c r="AI130" s="139">
        <v>0</v>
      </c>
      <c r="AJ130" s="139">
        <v>0</v>
      </c>
      <c r="AK130" s="139">
        <v>5000</v>
      </c>
      <c r="AL130" s="138" t="s">
        <v>86</v>
      </c>
      <c r="AM130" s="138" t="s">
        <v>86</v>
      </c>
      <c r="AN130" s="138" t="s">
        <v>86</v>
      </c>
      <c r="AO130" s="138" t="s">
        <v>86</v>
      </c>
      <c r="AP130" s="138" t="s">
        <v>86</v>
      </c>
      <c r="AQ130" s="138" t="s">
        <v>802</v>
      </c>
      <c r="AR130" s="138" t="s">
        <v>803</v>
      </c>
      <c r="AS130" s="138" t="s">
        <v>89</v>
      </c>
      <c r="AT130" s="138" t="s">
        <v>89</v>
      </c>
      <c r="AU130" s="138" t="s">
        <v>141</v>
      </c>
      <c r="AV130" s="138" t="s">
        <v>552</v>
      </c>
      <c r="AW130" s="138" t="s">
        <v>92</v>
      </c>
      <c r="AX130" s="138" t="s">
        <v>103</v>
      </c>
      <c r="AY130" s="138">
        <v>0</v>
      </c>
      <c r="AZ130" s="138">
        <v>0</v>
      </c>
      <c r="BA130" s="138" t="s">
        <v>86</v>
      </c>
      <c r="BB130" s="140" t="s">
        <v>810</v>
      </c>
      <c r="BC130" s="138" t="s">
        <v>86</v>
      </c>
    </row>
    <row r="131" spans="1:55" ht="14.25" customHeight="1">
      <c r="A131" t="str">
        <f>IFERROR(VLOOKUP(AV131,Nómina!B:E,4,0),"")</f>
        <v>GENESIS VALENTINA SALAZAR GUEVARA</v>
      </c>
      <c r="B131" t="str">
        <f>IFERROR(VLOOKUP(A131,Nómina!E:F,2,0),"")</f>
        <v>27828546-4</v>
      </c>
      <c r="C131" s="30">
        <f t="shared" si="18"/>
        <v>22689</v>
      </c>
      <c r="D131" t="str">
        <f t="shared" si="19"/>
        <v>2026-07-11</v>
      </c>
      <c r="E131" t="str">
        <f t="shared" si="20"/>
        <v>B2C</v>
      </c>
      <c r="F131" t="str">
        <f t="shared" si="21"/>
        <v>Masaje</v>
      </c>
      <c r="G131" t="str">
        <f t="shared" si="22"/>
        <v>Individual</v>
      </c>
      <c r="H131" t="str">
        <f t="shared" si="23"/>
        <v>60min</v>
      </c>
      <c r="I131" t="str">
        <f t="shared" si="24"/>
        <v>Tejido profundo</v>
      </c>
      <c r="J131" t="str">
        <f t="shared" si="25"/>
        <v>LAS CONDES</v>
      </c>
      <c r="K131" t="str">
        <f t="shared" si="26"/>
        <v>Ninguno</v>
      </c>
      <c r="L131">
        <f t="shared" si="27"/>
        <v>0</v>
      </c>
      <c r="M131">
        <f t="shared" si="28"/>
        <v>0</v>
      </c>
      <c r="N131" t="str">
        <f t="shared" si="29"/>
        <v/>
      </c>
      <c r="O131" s="10" t="str">
        <f>+VLOOKUP(Z131,listas!$B:$C,2,0)</f>
        <v>B2C</v>
      </c>
      <c r="P131" s="11">
        <f t="shared" ref="P131:P186" si="34">AG131</f>
        <v>45000</v>
      </c>
      <c r="Q131" s="11">
        <f t="shared" si="30"/>
        <v>22689</v>
      </c>
      <c r="R131" s="59">
        <f t="shared" si="31"/>
        <v>7</v>
      </c>
      <c r="S131" s="59">
        <f t="shared" si="32"/>
        <v>11</v>
      </c>
      <c r="T131" s="11">
        <f t="shared" si="33"/>
        <v>1</v>
      </c>
      <c r="U131" s="120" t="s">
        <v>80</v>
      </c>
      <c r="V131" s="120" t="s">
        <v>811</v>
      </c>
      <c r="W131" s="120" t="s">
        <v>788</v>
      </c>
      <c r="X131" s="120" t="s">
        <v>788</v>
      </c>
      <c r="Y131" s="120" t="s">
        <v>148</v>
      </c>
      <c r="Z131" s="120" t="s">
        <v>98</v>
      </c>
      <c r="AA131" s="120" t="s">
        <v>99</v>
      </c>
      <c r="AB131" s="120" t="s">
        <v>4</v>
      </c>
      <c r="AC131" s="120" t="s">
        <v>82</v>
      </c>
      <c r="AD131" s="120" t="s">
        <v>83</v>
      </c>
      <c r="AE131" s="120" t="s">
        <v>84</v>
      </c>
      <c r="AF131" s="120" t="s">
        <v>123</v>
      </c>
      <c r="AG131" s="133">
        <v>45000</v>
      </c>
      <c r="AH131" s="133">
        <v>45000</v>
      </c>
      <c r="AI131" s="133">
        <v>0</v>
      </c>
      <c r="AJ131" s="133">
        <v>0</v>
      </c>
      <c r="AK131" s="133">
        <v>27000</v>
      </c>
      <c r="AL131" s="120" t="s">
        <v>86</v>
      </c>
      <c r="AM131" s="120" t="s">
        <v>86</v>
      </c>
      <c r="AN131" s="120" t="s">
        <v>86</v>
      </c>
      <c r="AO131" s="120" t="s">
        <v>86</v>
      </c>
      <c r="AP131" s="120" t="s">
        <v>86</v>
      </c>
      <c r="AQ131" s="120" t="s">
        <v>802</v>
      </c>
      <c r="AR131" s="120" t="s">
        <v>803</v>
      </c>
      <c r="AS131" s="120" t="s">
        <v>89</v>
      </c>
      <c r="AT131" s="120" t="s">
        <v>89</v>
      </c>
      <c r="AU131" s="120" t="s">
        <v>109</v>
      </c>
      <c r="AV131" s="120" t="s">
        <v>549</v>
      </c>
      <c r="AW131" s="120" t="s">
        <v>92</v>
      </c>
      <c r="AX131" s="120" t="s">
        <v>103</v>
      </c>
      <c r="AY131" s="120">
        <v>0</v>
      </c>
      <c r="AZ131" s="120">
        <v>0</v>
      </c>
      <c r="BA131" s="120" t="s">
        <v>86</v>
      </c>
      <c r="BB131" s="134" t="s">
        <v>812</v>
      </c>
      <c r="BC131" s="120" t="s">
        <v>86</v>
      </c>
    </row>
    <row r="132" spans="1:55" ht="14.25" customHeight="1">
      <c r="A132" t="str">
        <f>IFERROR(VLOOKUP(AV132,Nómina!B:E,4,0),"")</f>
        <v>GENESIS VALENTINA SALAZAR GUEVARA</v>
      </c>
      <c r="B132" t="str">
        <f>IFERROR(VLOOKUP(A132,Nómina!E:F,2,0),"")</f>
        <v>27828546-4</v>
      </c>
      <c r="C132" s="30">
        <f t="shared" ref="C132:C186" si="35">IFERROR(Q132,"")</f>
        <v>5042</v>
      </c>
      <c r="D132" t="str">
        <f t="shared" ref="D132:D186" si="36">IFERROR(X132,"")</f>
        <v>2026-07-11</v>
      </c>
      <c r="E132" t="str">
        <f t="shared" ref="E132:E186" si="37">IFERROR(O132,"")</f>
        <v>B2C</v>
      </c>
      <c r="F132" t="str">
        <f t="shared" ref="F132:F186" si="38">IFERROR(AC132,"")</f>
        <v>Addon</v>
      </c>
      <c r="G132" t="str">
        <f t="shared" ref="G132:G186" si="39">IFERROR(AD132,"")</f>
        <v>Individual</v>
      </c>
      <c r="H132" t="str">
        <f t="shared" ref="H132:H186" si="40">IFERROR(AE132,"")</f>
        <v>15min</v>
      </c>
      <c r="I132" t="str">
        <f t="shared" ref="I132:I186" si="41">IFERROR(AF132,"")</f>
        <v>Craneofacial</v>
      </c>
      <c r="J132" t="str">
        <f t="shared" ref="J132:J186" si="42">IFERROR(AT132,"")</f>
        <v>LAS CONDES</v>
      </c>
      <c r="K132" t="str">
        <f t="shared" ref="K132:K186" si="43">IFERROR(AX132,"")</f>
        <v>Ninguno</v>
      </c>
      <c r="L132">
        <f t="shared" ref="L132:L186" si="44">IFERROR(AY132,"")</f>
        <v>0</v>
      </c>
      <c r="M132">
        <f t="shared" ref="M132:M186" si="45">IFERROR(AZ132,"")</f>
        <v>0</v>
      </c>
      <c r="N132" t="str">
        <f t="shared" ref="N132:N186" si="46">IFERROR(BA132,"")</f>
        <v/>
      </c>
      <c r="O132" s="10" t="str">
        <f>+VLOOKUP(Z132,listas!$B:$C,2,0)</f>
        <v>B2C</v>
      </c>
      <c r="P132" s="11">
        <f t="shared" si="34"/>
        <v>10000</v>
      </c>
      <c r="Q132" s="11">
        <f t="shared" ref="Q132:Q195" si="47">IF(AC132="Extra",IF(AF132="Extra de transporte",ROUND(P132/1.19*0.95,0),ROUND(P132/1.19*0.6,0)),ROUND(P132/1.19*0.6,0))</f>
        <v>5042</v>
      </c>
      <c r="R132" s="59">
        <f t="shared" ref="R132:R186" si="48">MONTH(X132)</f>
        <v>7</v>
      </c>
      <c r="S132" s="59">
        <f t="shared" ref="S132:S186" si="49">DAY(X132)</f>
        <v>11</v>
      </c>
      <c r="T132" s="11">
        <f t="shared" ref="T132:T186" si="50">IF(S132&gt;15,2,1)</f>
        <v>1</v>
      </c>
      <c r="U132" s="135" t="s">
        <v>80</v>
      </c>
      <c r="V132" s="135" t="s">
        <v>811</v>
      </c>
      <c r="W132" s="135" t="s">
        <v>788</v>
      </c>
      <c r="X132" s="135" t="s">
        <v>788</v>
      </c>
      <c r="Y132" s="135" t="s">
        <v>148</v>
      </c>
      <c r="Z132" s="135" t="s">
        <v>98</v>
      </c>
      <c r="AA132" s="135" t="s">
        <v>99</v>
      </c>
      <c r="AB132" s="135" t="s">
        <v>4</v>
      </c>
      <c r="AC132" s="135" t="s">
        <v>93</v>
      </c>
      <c r="AD132" s="135" t="s">
        <v>83</v>
      </c>
      <c r="AE132" s="135" t="s">
        <v>94</v>
      </c>
      <c r="AF132" s="135" t="s">
        <v>96</v>
      </c>
      <c r="AG132" s="136">
        <v>10000</v>
      </c>
      <c r="AH132" s="136">
        <v>10000</v>
      </c>
      <c r="AI132" s="136">
        <v>0</v>
      </c>
      <c r="AJ132" s="136">
        <v>0</v>
      </c>
      <c r="AK132" s="136">
        <v>6000</v>
      </c>
      <c r="AL132" s="135" t="s">
        <v>86</v>
      </c>
      <c r="AM132" s="135" t="s">
        <v>86</v>
      </c>
      <c r="AN132" s="135" t="s">
        <v>86</v>
      </c>
      <c r="AO132" s="135" t="s">
        <v>86</v>
      </c>
      <c r="AP132" s="135" t="s">
        <v>86</v>
      </c>
      <c r="AQ132" s="135" t="s">
        <v>802</v>
      </c>
      <c r="AR132" s="135" t="s">
        <v>803</v>
      </c>
      <c r="AS132" s="135" t="s">
        <v>89</v>
      </c>
      <c r="AT132" s="135" t="s">
        <v>89</v>
      </c>
      <c r="AU132" s="135" t="s">
        <v>109</v>
      </c>
      <c r="AV132" s="135" t="s">
        <v>549</v>
      </c>
      <c r="AW132" s="135" t="s">
        <v>92</v>
      </c>
      <c r="AX132" s="135" t="s">
        <v>103</v>
      </c>
      <c r="AY132" s="135">
        <v>0</v>
      </c>
      <c r="AZ132" s="135">
        <v>0</v>
      </c>
      <c r="BA132" s="135" t="s">
        <v>86</v>
      </c>
      <c r="BB132" s="137" t="s">
        <v>812</v>
      </c>
      <c r="BC132" s="135" t="s">
        <v>86</v>
      </c>
    </row>
    <row r="133" spans="1:55" ht="14.25" customHeight="1">
      <c r="A133" t="str">
        <f>IFERROR(VLOOKUP(AV133,Nómina!B:E,4,0),"")</f>
        <v>GENESIS VALENTINA SALAZAR GUEVARA</v>
      </c>
      <c r="B133" t="str">
        <f>IFERROR(VLOOKUP(A133,Nómina!E:F,2,0),"")</f>
        <v>27828546-4</v>
      </c>
      <c r="C133" s="30">
        <f t="shared" si="35"/>
        <v>2521</v>
      </c>
      <c r="D133" t="str">
        <f t="shared" si="36"/>
        <v>2026-07-11</v>
      </c>
      <c r="E133" t="str">
        <f t="shared" si="37"/>
        <v>B2C</v>
      </c>
      <c r="F133" t="str">
        <f t="shared" si="38"/>
        <v>Extra</v>
      </c>
      <c r="G133" t="str">
        <f t="shared" si="39"/>
        <v>Individual</v>
      </c>
      <c r="H133" t="str">
        <f t="shared" si="40"/>
        <v>-</v>
      </c>
      <c r="I133" t="str">
        <f t="shared" si="41"/>
        <v>Extra por festivo o fin de semana</v>
      </c>
      <c r="J133" t="str">
        <f t="shared" si="42"/>
        <v>LAS CONDES</v>
      </c>
      <c r="K133" t="str">
        <f t="shared" si="43"/>
        <v>Ninguno</v>
      </c>
      <c r="L133">
        <f t="shared" si="44"/>
        <v>0</v>
      </c>
      <c r="M133">
        <f t="shared" si="45"/>
        <v>0</v>
      </c>
      <c r="N133" t="str">
        <f t="shared" si="46"/>
        <v/>
      </c>
      <c r="O133" s="10" t="str">
        <f>+VLOOKUP(Z133,listas!$B:$C,2,0)</f>
        <v>B2C</v>
      </c>
      <c r="P133" s="11">
        <f t="shared" si="34"/>
        <v>5000</v>
      </c>
      <c r="Q133" s="11">
        <f t="shared" si="47"/>
        <v>2521</v>
      </c>
      <c r="R133" s="59">
        <f t="shared" si="48"/>
        <v>7</v>
      </c>
      <c r="S133" s="59">
        <f t="shared" si="49"/>
        <v>11</v>
      </c>
      <c r="T133" s="11">
        <f t="shared" si="50"/>
        <v>1</v>
      </c>
      <c r="U133" s="138" t="s">
        <v>80</v>
      </c>
      <c r="V133" s="138" t="s">
        <v>811</v>
      </c>
      <c r="W133" s="138" t="s">
        <v>788</v>
      </c>
      <c r="X133" s="138" t="s">
        <v>788</v>
      </c>
      <c r="Y133" s="138" t="s">
        <v>148</v>
      </c>
      <c r="Z133" s="138" t="s">
        <v>98</v>
      </c>
      <c r="AA133" s="138" t="s">
        <v>99</v>
      </c>
      <c r="AB133" s="138" t="s">
        <v>4</v>
      </c>
      <c r="AC133" s="138" t="s">
        <v>104</v>
      </c>
      <c r="AD133" s="138" t="s">
        <v>83</v>
      </c>
      <c r="AE133" s="138" t="s">
        <v>105</v>
      </c>
      <c r="AF133" s="138" t="s">
        <v>438</v>
      </c>
      <c r="AG133" s="139">
        <v>5000</v>
      </c>
      <c r="AH133" s="139">
        <v>5000</v>
      </c>
      <c r="AI133" s="139">
        <v>0</v>
      </c>
      <c r="AJ133" s="139">
        <v>0</v>
      </c>
      <c r="AK133" s="139">
        <v>5000</v>
      </c>
      <c r="AL133" s="138" t="s">
        <v>86</v>
      </c>
      <c r="AM133" s="138" t="s">
        <v>86</v>
      </c>
      <c r="AN133" s="138" t="s">
        <v>86</v>
      </c>
      <c r="AO133" s="138" t="s">
        <v>86</v>
      </c>
      <c r="AP133" s="138" t="s">
        <v>86</v>
      </c>
      <c r="AQ133" s="138" t="s">
        <v>802</v>
      </c>
      <c r="AR133" s="138" t="s">
        <v>803</v>
      </c>
      <c r="AS133" s="138" t="s">
        <v>89</v>
      </c>
      <c r="AT133" s="138" t="s">
        <v>89</v>
      </c>
      <c r="AU133" s="138" t="s">
        <v>109</v>
      </c>
      <c r="AV133" s="138" t="s">
        <v>549</v>
      </c>
      <c r="AW133" s="138" t="s">
        <v>92</v>
      </c>
      <c r="AX133" s="138" t="s">
        <v>103</v>
      </c>
      <c r="AY133" s="138">
        <v>0</v>
      </c>
      <c r="AZ133" s="138">
        <v>0</v>
      </c>
      <c r="BA133" s="138" t="s">
        <v>86</v>
      </c>
      <c r="BB133" s="140" t="s">
        <v>812</v>
      </c>
      <c r="BC133" s="138" t="s">
        <v>86</v>
      </c>
    </row>
    <row r="134" spans="1:55" ht="14.25" customHeight="1">
      <c r="A134" t="str">
        <f>IFERROR(VLOOKUP(AV134,Nómina!B:E,4,0),"")</f>
        <v>GENESIS VALENTINA SALAZAR GUEVARA</v>
      </c>
      <c r="B134" t="str">
        <f>IFERROR(VLOOKUP(A134,Nómina!E:F,2,0),"")</f>
        <v>27828546-4</v>
      </c>
      <c r="C134" s="30">
        <f t="shared" si="35"/>
        <v>22689</v>
      </c>
      <c r="D134" t="str">
        <f t="shared" si="36"/>
        <v>2026-07-12</v>
      </c>
      <c r="E134" t="str">
        <f t="shared" si="37"/>
        <v>HOTEL</v>
      </c>
      <c r="F134" t="str">
        <f t="shared" si="38"/>
        <v>Masaje</v>
      </c>
      <c r="G134" t="str">
        <f t="shared" si="39"/>
        <v>Pareja</v>
      </c>
      <c r="H134" t="str">
        <f t="shared" si="40"/>
        <v>60min</v>
      </c>
      <c r="I134" t="str">
        <f t="shared" si="41"/>
        <v>Relajante</v>
      </c>
      <c r="J134" t="str">
        <f t="shared" si="42"/>
        <v>VITACURA</v>
      </c>
      <c r="K134" t="str">
        <f t="shared" si="43"/>
        <v>Huésped: Lilian Da Silva Toledo. Hab: 1807.</v>
      </c>
      <c r="L134">
        <f t="shared" si="44"/>
        <v>0</v>
      </c>
      <c r="M134">
        <f t="shared" si="45"/>
        <v>0</v>
      </c>
      <c r="N134" t="str">
        <f t="shared" si="46"/>
        <v/>
      </c>
      <c r="O134" s="10" t="str">
        <f>+VLOOKUP(Z134,listas!$B:$C,2,0)</f>
        <v>HOTEL</v>
      </c>
      <c r="P134" s="11">
        <f t="shared" si="34"/>
        <v>45000</v>
      </c>
      <c r="Q134" s="11">
        <f t="shared" si="47"/>
        <v>22689</v>
      </c>
      <c r="R134" s="59">
        <f t="shared" si="48"/>
        <v>7</v>
      </c>
      <c r="S134" s="59">
        <f t="shared" si="49"/>
        <v>12</v>
      </c>
      <c r="T134" s="11">
        <f t="shared" si="50"/>
        <v>1</v>
      </c>
      <c r="U134" s="120" t="s">
        <v>80</v>
      </c>
      <c r="V134" s="120" t="s">
        <v>813</v>
      </c>
      <c r="W134" s="120" t="s">
        <v>788</v>
      </c>
      <c r="X134" s="120" t="s">
        <v>814</v>
      </c>
      <c r="Y134" s="120" t="s">
        <v>815</v>
      </c>
      <c r="Z134" s="120" t="s">
        <v>5</v>
      </c>
      <c r="AA134" s="120" t="s">
        <v>81</v>
      </c>
      <c r="AB134" s="120" t="s">
        <v>5</v>
      </c>
      <c r="AC134" s="120" t="s">
        <v>82</v>
      </c>
      <c r="AD134" s="120" t="s">
        <v>119</v>
      </c>
      <c r="AE134" s="120" t="s">
        <v>84</v>
      </c>
      <c r="AF134" s="120" t="s">
        <v>85</v>
      </c>
      <c r="AG134" s="133">
        <v>45000</v>
      </c>
      <c r="AH134" s="133">
        <v>45000</v>
      </c>
      <c r="AI134" s="133">
        <v>0</v>
      </c>
      <c r="AJ134" s="133">
        <v>0</v>
      </c>
      <c r="AK134" s="133">
        <v>27000</v>
      </c>
      <c r="AL134" s="120" t="s">
        <v>86</v>
      </c>
      <c r="AM134" s="120" t="s">
        <v>86</v>
      </c>
      <c r="AN134" s="120" t="s">
        <v>86</v>
      </c>
      <c r="AO134" s="120" t="s">
        <v>86</v>
      </c>
      <c r="AP134" s="120" t="s">
        <v>86</v>
      </c>
      <c r="AQ134" s="120" t="s">
        <v>599</v>
      </c>
      <c r="AR134" s="120" t="s">
        <v>600</v>
      </c>
      <c r="AS134" s="120" t="s">
        <v>115</v>
      </c>
      <c r="AT134" s="120" t="s">
        <v>115</v>
      </c>
      <c r="AU134" s="120" t="s">
        <v>109</v>
      </c>
      <c r="AV134" s="120" t="s">
        <v>549</v>
      </c>
      <c r="AW134" s="120" t="s">
        <v>92</v>
      </c>
      <c r="AX134" s="120" t="s">
        <v>816</v>
      </c>
      <c r="AY134" s="120">
        <v>0</v>
      </c>
      <c r="AZ134" s="120">
        <v>0</v>
      </c>
      <c r="BA134" s="120" t="s">
        <v>86</v>
      </c>
      <c r="BB134" s="134" t="s">
        <v>817</v>
      </c>
      <c r="BC134" s="120" t="s">
        <v>86</v>
      </c>
    </row>
    <row r="135" spans="1:55" ht="14.25" customHeight="1">
      <c r="A135" t="str">
        <f>IFERROR(VLOOKUP(AV135,Nómina!B:E,4,0),"")</f>
        <v>PAMELA VERONICA CID NAVIA  </v>
      </c>
      <c r="B135" t="str">
        <f>IFERROR(VLOOKUP(A135,Nómina!E:F,2,0),"")</f>
        <v>8008360-2</v>
      </c>
      <c r="C135" s="30">
        <f t="shared" si="35"/>
        <v>22689</v>
      </c>
      <c r="D135" t="str">
        <f t="shared" si="36"/>
        <v>2026-07-12</v>
      </c>
      <c r="E135" t="str">
        <f t="shared" si="37"/>
        <v>HOTEL</v>
      </c>
      <c r="F135" t="str">
        <f t="shared" si="38"/>
        <v>Masaje</v>
      </c>
      <c r="G135" t="str">
        <f t="shared" si="39"/>
        <v>Pareja</v>
      </c>
      <c r="H135" t="str">
        <f t="shared" si="40"/>
        <v>60min</v>
      </c>
      <c r="I135" t="str">
        <f t="shared" si="41"/>
        <v>Relajante</v>
      </c>
      <c r="J135" t="str">
        <f t="shared" si="42"/>
        <v>VITACURA</v>
      </c>
      <c r="K135" t="str">
        <f t="shared" si="43"/>
        <v>Huésped: Lilian Da Silva Toledo. Hab: 1807.</v>
      </c>
      <c r="L135">
        <f t="shared" si="44"/>
        <v>0</v>
      </c>
      <c r="M135">
        <f t="shared" si="45"/>
        <v>0</v>
      </c>
      <c r="N135" t="str">
        <f t="shared" si="46"/>
        <v/>
      </c>
      <c r="O135" s="10" t="str">
        <f>+VLOOKUP(Z135,listas!$B:$C,2,0)</f>
        <v>HOTEL</v>
      </c>
      <c r="P135" s="11">
        <f t="shared" si="34"/>
        <v>45000</v>
      </c>
      <c r="Q135" s="11">
        <f t="shared" si="47"/>
        <v>22689</v>
      </c>
      <c r="R135" s="59">
        <f t="shared" si="48"/>
        <v>7</v>
      </c>
      <c r="S135" s="59">
        <f t="shared" si="49"/>
        <v>12</v>
      </c>
      <c r="T135" s="11">
        <f t="shared" si="50"/>
        <v>1</v>
      </c>
      <c r="U135" s="120" t="s">
        <v>80</v>
      </c>
      <c r="V135" s="120" t="s">
        <v>813</v>
      </c>
      <c r="W135" s="120" t="s">
        <v>788</v>
      </c>
      <c r="X135" s="120" t="s">
        <v>814</v>
      </c>
      <c r="Y135" s="120" t="s">
        <v>815</v>
      </c>
      <c r="Z135" s="120" t="s">
        <v>5</v>
      </c>
      <c r="AA135" s="120" t="s">
        <v>81</v>
      </c>
      <c r="AB135" s="120" t="s">
        <v>5</v>
      </c>
      <c r="AC135" s="120" t="s">
        <v>82</v>
      </c>
      <c r="AD135" s="120" t="s">
        <v>119</v>
      </c>
      <c r="AE135" s="120" t="s">
        <v>84</v>
      </c>
      <c r="AF135" s="120" t="s">
        <v>85</v>
      </c>
      <c r="AG135" s="133">
        <v>45000</v>
      </c>
      <c r="AH135" s="133">
        <v>45000</v>
      </c>
      <c r="AI135" s="133">
        <v>0</v>
      </c>
      <c r="AJ135" s="133">
        <v>0</v>
      </c>
      <c r="AK135" s="133">
        <v>27000</v>
      </c>
      <c r="AL135" s="120" t="s">
        <v>86</v>
      </c>
      <c r="AM135" s="120" t="s">
        <v>86</v>
      </c>
      <c r="AN135" s="120" t="s">
        <v>86</v>
      </c>
      <c r="AO135" s="120" t="s">
        <v>86</v>
      </c>
      <c r="AP135" s="120" t="s">
        <v>86</v>
      </c>
      <c r="AQ135" s="120" t="s">
        <v>599</v>
      </c>
      <c r="AR135" s="120" t="s">
        <v>600</v>
      </c>
      <c r="AS135" s="120" t="s">
        <v>115</v>
      </c>
      <c r="AT135" s="120" t="s">
        <v>115</v>
      </c>
      <c r="AU135" s="120" t="s">
        <v>144</v>
      </c>
      <c r="AV135" s="120" t="s">
        <v>19</v>
      </c>
      <c r="AW135" s="120" t="s">
        <v>92</v>
      </c>
      <c r="AX135" s="120" t="s">
        <v>816</v>
      </c>
      <c r="AY135" s="120">
        <v>0</v>
      </c>
      <c r="AZ135" s="120">
        <v>0</v>
      </c>
      <c r="BA135" s="120" t="s">
        <v>86</v>
      </c>
      <c r="BB135" s="134" t="s">
        <v>817</v>
      </c>
      <c r="BC135" s="120" t="s">
        <v>86</v>
      </c>
    </row>
    <row r="136" spans="1:55" ht="14.25" customHeight="1">
      <c r="A136" t="str">
        <f>IFERROR(VLOOKUP(AV136,Nómina!B:E,4,0),"")</f>
        <v>SERGIO RODRÍGUEZ</v>
      </c>
      <c r="B136" t="str">
        <f>IFERROR(VLOOKUP(A136,Nómina!E:F,2,0),"")</f>
        <v>27988098-6</v>
      </c>
      <c r="C136" s="30">
        <f t="shared" si="35"/>
        <v>22689</v>
      </c>
      <c r="D136" t="str">
        <f t="shared" si="36"/>
        <v>2026-07-12</v>
      </c>
      <c r="E136" t="str">
        <f t="shared" si="37"/>
        <v>HOTEL</v>
      </c>
      <c r="F136" t="str">
        <f t="shared" si="38"/>
        <v>Masaje</v>
      </c>
      <c r="G136" t="str">
        <f t="shared" si="39"/>
        <v>Pareja</v>
      </c>
      <c r="H136" t="str">
        <f t="shared" si="40"/>
        <v>60min</v>
      </c>
      <c r="I136" t="str">
        <f t="shared" si="41"/>
        <v>Relajante</v>
      </c>
      <c r="J136" t="str">
        <f t="shared" si="42"/>
        <v>LAS CONDES</v>
      </c>
      <c r="K136" t="str">
        <f t="shared" si="43"/>
        <v>Huésped: Lucas McDonell. Hab: 710. Solicita: Leandra Yáñez.</v>
      </c>
      <c r="L136">
        <f t="shared" si="44"/>
        <v>0</v>
      </c>
      <c r="M136">
        <f t="shared" si="45"/>
        <v>0</v>
      </c>
      <c r="N136" t="str">
        <f t="shared" si="46"/>
        <v/>
      </c>
      <c r="O136" s="10" t="str">
        <f>+VLOOKUP(Z136,listas!$B:$C,2,0)</f>
        <v>HOTEL</v>
      </c>
      <c r="P136" s="11">
        <f t="shared" si="34"/>
        <v>45000</v>
      </c>
      <c r="Q136" s="11">
        <f t="shared" si="47"/>
        <v>22689</v>
      </c>
      <c r="R136" s="59">
        <f t="shared" si="48"/>
        <v>7</v>
      </c>
      <c r="S136" s="59">
        <f t="shared" si="49"/>
        <v>12</v>
      </c>
      <c r="T136" s="11">
        <f t="shared" si="50"/>
        <v>1</v>
      </c>
      <c r="U136" s="120" t="s">
        <v>80</v>
      </c>
      <c r="V136" s="120" t="s">
        <v>818</v>
      </c>
      <c r="W136" s="120" t="s">
        <v>788</v>
      </c>
      <c r="X136" s="120" t="s">
        <v>814</v>
      </c>
      <c r="Y136" s="120" t="s">
        <v>819</v>
      </c>
      <c r="Z136" s="120" t="s">
        <v>5</v>
      </c>
      <c r="AA136" s="120" t="s">
        <v>81</v>
      </c>
      <c r="AB136" s="120" t="s">
        <v>5</v>
      </c>
      <c r="AC136" s="120" t="s">
        <v>82</v>
      </c>
      <c r="AD136" s="120" t="s">
        <v>119</v>
      </c>
      <c r="AE136" s="120" t="s">
        <v>84</v>
      </c>
      <c r="AF136" s="120" t="s">
        <v>85</v>
      </c>
      <c r="AG136" s="133">
        <v>45000</v>
      </c>
      <c r="AH136" s="133">
        <v>45000</v>
      </c>
      <c r="AI136" s="133">
        <v>0</v>
      </c>
      <c r="AJ136" s="133">
        <v>0</v>
      </c>
      <c r="AK136" s="133">
        <v>27000</v>
      </c>
      <c r="AL136" s="120" t="s">
        <v>86</v>
      </c>
      <c r="AM136" s="120" t="s">
        <v>86</v>
      </c>
      <c r="AN136" s="120" t="s">
        <v>86</v>
      </c>
      <c r="AO136" s="120" t="s">
        <v>86</v>
      </c>
      <c r="AP136" s="120" t="s">
        <v>86</v>
      </c>
      <c r="AQ136" s="120" t="s">
        <v>87</v>
      </c>
      <c r="AR136" s="120" t="s">
        <v>88</v>
      </c>
      <c r="AS136" s="120" t="s">
        <v>89</v>
      </c>
      <c r="AT136" s="120" t="s">
        <v>89</v>
      </c>
      <c r="AU136" s="120" t="s">
        <v>315</v>
      </c>
      <c r="AV136" s="120" t="s">
        <v>316</v>
      </c>
      <c r="AW136" s="120" t="s">
        <v>92</v>
      </c>
      <c r="AX136" s="120" t="s">
        <v>820</v>
      </c>
      <c r="AY136" s="120">
        <v>0</v>
      </c>
      <c r="AZ136" s="120">
        <v>0</v>
      </c>
      <c r="BA136" s="120" t="s">
        <v>86</v>
      </c>
      <c r="BB136" s="134" t="s">
        <v>821</v>
      </c>
      <c r="BC136" s="120" t="s">
        <v>86</v>
      </c>
    </row>
    <row r="137" spans="1:55" ht="14.25" customHeight="1">
      <c r="A137" t="str">
        <f>IFERROR(VLOOKUP(AV137,Nómina!B:E,4,0),"")</f>
        <v>JOSE IGNACIO PALMA CASANOVA</v>
      </c>
      <c r="B137" t="str">
        <f>IFERROR(VLOOKUP(A137,Nómina!E:F,2,0),"")</f>
        <v>19232974-4</v>
      </c>
      <c r="C137" s="30">
        <f t="shared" si="35"/>
        <v>22689</v>
      </c>
      <c r="D137" t="str">
        <f t="shared" si="36"/>
        <v>2026-07-12</v>
      </c>
      <c r="E137" t="str">
        <f t="shared" si="37"/>
        <v>HOTEL</v>
      </c>
      <c r="F137" t="str">
        <f t="shared" si="38"/>
        <v>Masaje</v>
      </c>
      <c r="G137" t="str">
        <f t="shared" si="39"/>
        <v>Pareja</v>
      </c>
      <c r="H137" t="str">
        <f t="shared" si="40"/>
        <v>60min</v>
      </c>
      <c r="I137" t="str">
        <f t="shared" si="41"/>
        <v>Relajante</v>
      </c>
      <c r="J137" t="str">
        <f t="shared" si="42"/>
        <v>LAS CONDES</v>
      </c>
      <c r="K137" t="str">
        <f t="shared" si="43"/>
        <v>Huésped: Lucas McDonell. Hab: 710. Solicita: Leandra Yáñez.</v>
      </c>
      <c r="L137">
        <f t="shared" si="44"/>
        <v>0</v>
      </c>
      <c r="M137">
        <f t="shared" si="45"/>
        <v>0</v>
      </c>
      <c r="N137" t="str">
        <f t="shared" si="46"/>
        <v/>
      </c>
      <c r="O137" s="10" t="str">
        <f>+VLOOKUP(Z137,listas!$B:$C,2,0)</f>
        <v>HOTEL</v>
      </c>
      <c r="P137" s="11">
        <f t="shared" si="34"/>
        <v>45000</v>
      </c>
      <c r="Q137" s="11">
        <f t="shared" si="47"/>
        <v>22689</v>
      </c>
      <c r="R137" s="59">
        <f t="shared" si="48"/>
        <v>7</v>
      </c>
      <c r="S137" s="59">
        <f t="shared" si="49"/>
        <v>12</v>
      </c>
      <c r="T137" s="11">
        <f t="shared" si="50"/>
        <v>1</v>
      </c>
      <c r="U137" s="120" t="s">
        <v>80</v>
      </c>
      <c r="V137" s="120" t="s">
        <v>818</v>
      </c>
      <c r="W137" s="120" t="s">
        <v>788</v>
      </c>
      <c r="X137" s="120" t="s">
        <v>814</v>
      </c>
      <c r="Y137" s="120" t="s">
        <v>819</v>
      </c>
      <c r="Z137" s="120" t="s">
        <v>5</v>
      </c>
      <c r="AA137" s="120" t="s">
        <v>81</v>
      </c>
      <c r="AB137" s="120" t="s">
        <v>5</v>
      </c>
      <c r="AC137" s="120" t="s">
        <v>82</v>
      </c>
      <c r="AD137" s="120" t="s">
        <v>119</v>
      </c>
      <c r="AE137" s="120" t="s">
        <v>84</v>
      </c>
      <c r="AF137" s="120" t="s">
        <v>85</v>
      </c>
      <c r="AG137" s="133">
        <v>45000</v>
      </c>
      <c r="AH137" s="133">
        <v>45000</v>
      </c>
      <c r="AI137" s="133">
        <v>0</v>
      </c>
      <c r="AJ137" s="133">
        <v>0</v>
      </c>
      <c r="AK137" s="133">
        <v>27000</v>
      </c>
      <c r="AL137" s="120" t="s">
        <v>86</v>
      </c>
      <c r="AM137" s="120" t="s">
        <v>86</v>
      </c>
      <c r="AN137" s="120" t="s">
        <v>86</v>
      </c>
      <c r="AO137" s="120" t="s">
        <v>86</v>
      </c>
      <c r="AP137" s="120" t="s">
        <v>86</v>
      </c>
      <c r="AQ137" s="120" t="s">
        <v>87</v>
      </c>
      <c r="AR137" s="120" t="s">
        <v>88</v>
      </c>
      <c r="AS137" s="120" t="s">
        <v>89</v>
      </c>
      <c r="AT137" s="120" t="s">
        <v>89</v>
      </c>
      <c r="AU137" s="120" t="s">
        <v>158</v>
      </c>
      <c r="AV137" s="120" t="s">
        <v>282</v>
      </c>
      <c r="AW137" s="120" t="s">
        <v>92</v>
      </c>
      <c r="AX137" s="120" t="s">
        <v>820</v>
      </c>
      <c r="AY137" s="120">
        <v>0</v>
      </c>
      <c r="AZ137" s="120">
        <v>0</v>
      </c>
      <c r="BA137" s="120" t="s">
        <v>86</v>
      </c>
      <c r="BB137" s="134" t="s">
        <v>821</v>
      </c>
      <c r="BC137" s="120" t="s">
        <v>86</v>
      </c>
    </row>
    <row r="138" spans="1:55" ht="14.25" customHeight="1">
      <c r="A138" t="str">
        <f>IFERROR(VLOOKUP(AV138,Nómina!B:E,4,0),"")</f>
        <v>IVVO LEANDRO VERGARA SALINAS</v>
      </c>
      <c r="B138" t="str">
        <f>IFERROR(VLOOKUP(A138,Nómina!E:F,2,0),"")</f>
        <v>17681238-9</v>
      </c>
      <c r="C138" s="30">
        <f t="shared" si="35"/>
        <v>31765</v>
      </c>
      <c r="D138" t="str">
        <f t="shared" si="36"/>
        <v>2026-07-12</v>
      </c>
      <c r="E138" t="str">
        <f t="shared" si="37"/>
        <v>HOTEL</v>
      </c>
      <c r="F138" t="str">
        <f t="shared" si="38"/>
        <v>Masaje</v>
      </c>
      <c r="G138" t="str">
        <f t="shared" si="39"/>
        <v>Pareja</v>
      </c>
      <c r="H138" t="str">
        <f t="shared" si="40"/>
        <v>90min</v>
      </c>
      <c r="I138" t="str">
        <f t="shared" si="41"/>
        <v>Tejido profundo</v>
      </c>
      <c r="J138" t="str">
        <f t="shared" si="42"/>
        <v>VITACURA</v>
      </c>
      <c r="K138" t="str">
        <f t="shared" si="43"/>
        <v>Huésped: Marcela Rivero. Hab: 404. Solicita: Valentina.</v>
      </c>
      <c r="L138">
        <f t="shared" si="44"/>
        <v>0</v>
      </c>
      <c r="M138">
        <f t="shared" si="45"/>
        <v>0</v>
      </c>
      <c r="N138" t="str">
        <f t="shared" si="46"/>
        <v/>
      </c>
      <c r="O138" s="10" t="str">
        <f>+VLOOKUP(Z138,listas!$B:$C,2,0)</f>
        <v>HOTEL</v>
      </c>
      <c r="P138" s="11">
        <f t="shared" si="34"/>
        <v>63000</v>
      </c>
      <c r="Q138" s="11">
        <f t="shared" si="47"/>
        <v>31765</v>
      </c>
      <c r="R138" s="59">
        <f t="shared" si="48"/>
        <v>7</v>
      </c>
      <c r="S138" s="59">
        <f t="shared" si="49"/>
        <v>12</v>
      </c>
      <c r="T138" s="11">
        <f t="shared" si="50"/>
        <v>1</v>
      </c>
      <c r="U138" s="120" t="s">
        <v>80</v>
      </c>
      <c r="V138" s="120" t="s">
        <v>822</v>
      </c>
      <c r="W138" s="120" t="s">
        <v>788</v>
      </c>
      <c r="X138" s="120" t="s">
        <v>814</v>
      </c>
      <c r="Y138" s="120" t="s">
        <v>118</v>
      </c>
      <c r="Z138" s="120" t="s">
        <v>5</v>
      </c>
      <c r="AA138" s="120" t="s">
        <v>81</v>
      </c>
      <c r="AB138" s="120" t="s">
        <v>5</v>
      </c>
      <c r="AC138" s="120" t="s">
        <v>82</v>
      </c>
      <c r="AD138" s="120" t="s">
        <v>119</v>
      </c>
      <c r="AE138" s="120" t="s">
        <v>146</v>
      </c>
      <c r="AF138" s="120" t="s">
        <v>123</v>
      </c>
      <c r="AG138" s="133">
        <v>63000</v>
      </c>
      <c r="AH138" s="133">
        <v>63000</v>
      </c>
      <c r="AI138" s="133">
        <v>0</v>
      </c>
      <c r="AJ138" s="133">
        <v>0</v>
      </c>
      <c r="AK138" s="133">
        <v>37800</v>
      </c>
      <c r="AL138" s="120" t="s">
        <v>86</v>
      </c>
      <c r="AM138" s="120" t="s">
        <v>86</v>
      </c>
      <c r="AN138" s="120" t="s">
        <v>86</v>
      </c>
      <c r="AO138" s="120" t="s">
        <v>86</v>
      </c>
      <c r="AP138" s="120" t="s">
        <v>86</v>
      </c>
      <c r="AQ138" s="120" t="s">
        <v>124</v>
      </c>
      <c r="AR138" s="120" t="s">
        <v>125</v>
      </c>
      <c r="AS138" s="120" t="s">
        <v>115</v>
      </c>
      <c r="AT138" s="120" t="s">
        <v>115</v>
      </c>
      <c r="AU138" s="120" t="s">
        <v>381</v>
      </c>
      <c r="AV138" s="120" t="s">
        <v>25</v>
      </c>
      <c r="AW138" s="120" t="s">
        <v>92</v>
      </c>
      <c r="AX138" s="120" t="s">
        <v>823</v>
      </c>
      <c r="AY138" s="120">
        <v>0</v>
      </c>
      <c r="AZ138" s="120">
        <v>0</v>
      </c>
      <c r="BA138" s="120" t="s">
        <v>86</v>
      </c>
      <c r="BB138" s="134" t="s">
        <v>824</v>
      </c>
      <c r="BC138" s="120" t="s">
        <v>86</v>
      </c>
    </row>
    <row r="139" spans="1:55" ht="14.25" customHeight="1">
      <c r="A139" t="str">
        <f>IFERROR(VLOOKUP(AV139,Nómina!B:E,4,0),"")</f>
        <v>SERGIO RODRÍGUEZ</v>
      </c>
      <c r="B139" t="str">
        <f>IFERROR(VLOOKUP(A139,Nómina!E:F,2,0),"")</f>
        <v>27988098-6</v>
      </c>
      <c r="C139" s="30">
        <f t="shared" si="35"/>
        <v>31765</v>
      </c>
      <c r="D139" t="str">
        <f t="shared" si="36"/>
        <v>2026-07-12</v>
      </c>
      <c r="E139" t="str">
        <f t="shared" si="37"/>
        <v>HOTEL</v>
      </c>
      <c r="F139" t="str">
        <f t="shared" si="38"/>
        <v>Masaje</v>
      </c>
      <c r="G139" t="str">
        <f t="shared" si="39"/>
        <v>Pareja</v>
      </c>
      <c r="H139" t="str">
        <f t="shared" si="40"/>
        <v>90min</v>
      </c>
      <c r="I139" t="str">
        <f t="shared" si="41"/>
        <v>Relajante</v>
      </c>
      <c r="J139" t="str">
        <f t="shared" si="42"/>
        <v>VITACURA</v>
      </c>
      <c r="K139" t="str">
        <f t="shared" si="43"/>
        <v>Huésped: Marcela Rivero. Hab: 404. Solicita: Valentina.</v>
      </c>
      <c r="L139">
        <f t="shared" si="44"/>
        <v>0</v>
      </c>
      <c r="M139">
        <f t="shared" si="45"/>
        <v>0</v>
      </c>
      <c r="N139" t="str">
        <f t="shared" si="46"/>
        <v/>
      </c>
      <c r="O139" s="10" t="str">
        <f>+VLOOKUP(Z139,listas!$B:$C,2,0)</f>
        <v>HOTEL</v>
      </c>
      <c r="P139" s="11">
        <f t="shared" si="34"/>
        <v>63000</v>
      </c>
      <c r="Q139" s="11">
        <f t="shared" si="47"/>
        <v>31765</v>
      </c>
      <c r="R139" s="59">
        <f t="shared" si="48"/>
        <v>7</v>
      </c>
      <c r="S139" s="59">
        <f t="shared" si="49"/>
        <v>12</v>
      </c>
      <c r="T139" s="11">
        <f t="shared" si="50"/>
        <v>1</v>
      </c>
      <c r="U139" s="120" t="s">
        <v>80</v>
      </c>
      <c r="V139" s="120" t="s">
        <v>822</v>
      </c>
      <c r="W139" s="120" t="s">
        <v>788</v>
      </c>
      <c r="X139" s="120" t="s">
        <v>814</v>
      </c>
      <c r="Y139" s="120" t="s">
        <v>118</v>
      </c>
      <c r="Z139" s="120" t="s">
        <v>5</v>
      </c>
      <c r="AA139" s="120" t="s">
        <v>81</v>
      </c>
      <c r="AB139" s="120" t="s">
        <v>5</v>
      </c>
      <c r="AC139" s="120" t="s">
        <v>82</v>
      </c>
      <c r="AD139" s="120" t="s">
        <v>119</v>
      </c>
      <c r="AE139" s="120" t="s">
        <v>146</v>
      </c>
      <c r="AF139" s="120" t="s">
        <v>85</v>
      </c>
      <c r="AG139" s="133">
        <v>63000</v>
      </c>
      <c r="AH139" s="133">
        <v>63000</v>
      </c>
      <c r="AI139" s="133">
        <v>0</v>
      </c>
      <c r="AJ139" s="133">
        <v>0</v>
      </c>
      <c r="AK139" s="133">
        <v>37800</v>
      </c>
      <c r="AL139" s="120" t="s">
        <v>86</v>
      </c>
      <c r="AM139" s="120" t="s">
        <v>86</v>
      </c>
      <c r="AN139" s="120" t="s">
        <v>86</v>
      </c>
      <c r="AO139" s="120" t="s">
        <v>86</v>
      </c>
      <c r="AP139" s="120" t="s">
        <v>86</v>
      </c>
      <c r="AQ139" s="120" t="s">
        <v>124</v>
      </c>
      <c r="AR139" s="120" t="s">
        <v>125</v>
      </c>
      <c r="AS139" s="120" t="s">
        <v>115</v>
      </c>
      <c r="AT139" s="120" t="s">
        <v>115</v>
      </c>
      <c r="AU139" s="120" t="s">
        <v>315</v>
      </c>
      <c r="AV139" s="120" t="s">
        <v>316</v>
      </c>
      <c r="AW139" s="120" t="s">
        <v>92</v>
      </c>
      <c r="AX139" s="120" t="s">
        <v>823</v>
      </c>
      <c r="AY139" s="120">
        <v>0</v>
      </c>
      <c r="AZ139" s="120">
        <v>0</v>
      </c>
      <c r="BA139" s="120" t="s">
        <v>86</v>
      </c>
      <c r="BB139" s="134" t="s">
        <v>824</v>
      </c>
      <c r="BC139" s="120" t="s">
        <v>86</v>
      </c>
    </row>
    <row r="140" spans="1:55" ht="14.25" customHeight="1">
      <c r="A140" t="str">
        <f>IFERROR(VLOOKUP(AV140,Nómina!B:E,4,0),"")</f>
        <v>WENDY CAROLINA MENDEZ AVENDAÑO</v>
      </c>
      <c r="B140" t="str">
        <f>IFERROR(VLOOKUP(A140,Nómina!E:F,2,0),"")</f>
        <v>26330714-3</v>
      </c>
      <c r="C140" s="30">
        <f t="shared" si="35"/>
        <v>22689</v>
      </c>
      <c r="D140" t="str">
        <f t="shared" si="36"/>
        <v>2026-07-12</v>
      </c>
      <c r="E140" t="str">
        <f t="shared" si="37"/>
        <v>HOTEL</v>
      </c>
      <c r="F140" t="str">
        <f t="shared" si="38"/>
        <v>Masaje</v>
      </c>
      <c r="G140" t="str">
        <f t="shared" si="39"/>
        <v>Individual</v>
      </c>
      <c r="H140" t="str">
        <f t="shared" si="40"/>
        <v>60min</v>
      </c>
      <c r="I140" t="str">
        <f t="shared" si="41"/>
        <v>Relajante</v>
      </c>
      <c r="J140" t="str">
        <f t="shared" si="42"/>
        <v>LAS CONDES</v>
      </c>
      <c r="K140" t="str">
        <f t="shared" si="43"/>
        <v>Huésped: Acompañante Rocío Diaz. Hab: 606. Solicita: Leandra Yáñez.</v>
      </c>
      <c r="L140">
        <f t="shared" si="44"/>
        <v>0</v>
      </c>
      <c r="M140">
        <f t="shared" si="45"/>
        <v>0</v>
      </c>
      <c r="N140" t="str">
        <f t="shared" si="46"/>
        <v/>
      </c>
      <c r="O140" s="10" t="str">
        <f>+VLOOKUP(Z140,listas!$B:$C,2,0)</f>
        <v>HOTEL</v>
      </c>
      <c r="P140" s="11">
        <f t="shared" si="34"/>
        <v>45000</v>
      </c>
      <c r="Q140" s="11">
        <f t="shared" si="47"/>
        <v>22689</v>
      </c>
      <c r="R140" s="59">
        <f t="shared" si="48"/>
        <v>7</v>
      </c>
      <c r="S140" s="59">
        <f t="shared" si="49"/>
        <v>12</v>
      </c>
      <c r="T140" s="11">
        <f t="shared" si="50"/>
        <v>1</v>
      </c>
      <c r="U140" s="120" t="s">
        <v>80</v>
      </c>
      <c r="V140" s="120" t="s">
        <v>825</v>
      </c>
      <c r="W140" s="120" t="s">
        <v>788</v>
      </c>
      <c r="X140" s="120" t="s">
        <v>814</v>
      </c>
      <c r="Y140" s="120" t="s">
        <v>118</v>
      </c>
      <c r="Z140" s="120" t="s">
        <v>5</v>
      </c>
      <c r="AA140" s="120" t="s">
        <v>81</v>
      </c>
      <c r="AB140" s="120" t="s">
        <v>5</v>
      </c>
      <c r="AC140" s="120" t="s">
        <v>82</v>
      </c>
      <c r="AD140" s="120" t="s">
        <v>83</v>
      </c>
      <c r="AE140" s="120" t="s">
        <v>84</v>
      </c>
      <c r="AF140" s="120" t="s">
        <v>85</v>
      </c>
      <c r="AG140" s="133">
        <v>45000</v>
      </c>
      <c r="AH140" s="133">
        <v>45000</v>
      </c>
      <c r="AI140" s="133">
        <v>0</v>
      </c>
      <c r="AJ140" s="133">
        <v>0</v>
      </c>
      <c r="AK140" s="133">
        <v>27000</v>
      </c>
      <c r="AL140" s="120" t="s">
        <v>86</v>
      </c>
      <c r="AM140" s="120" t="s">
        <v>86</v>
      </c>
      <c r="AN140" s="120" t="s">
        <v>86</v>
      </c>
      <c r="AO140" s="120" t="s">
        <v>86</v>
      </c>
      <c r="AP140" s="120" t="s">
        <v>86</v>
      </c>
      <c r="AQ140" s="120" t="s">
        <v>87</v>
      </c>
      <c r="AR140" s="120" t="s">
        <v>88</v>
      </c>
      <c r="AS140" s="120" t="s">
        <v>89</v>
      </c>
      <c r="AT140" s="120" t="s">
        <v>89</v>
      </c>
      <c r="AU140" s="120" t="s">
        <v>112</v>
      </c>
      <c r="AV140" s="120" t="s">
        <v>445</v>
      </c>
      <c r="AW140" s="120" t="s">
        <v>92</v>
      </c>
      <c r="AX140" s="120" t="s">
        <v>826</v>
      </c>
      <c r="AY140" s="120">
        <v>0</v>
      </c>
      <c r="AZ140" s="120">
        <v>0</v>
      </c>
      <c r="BA140" s="120" t="s">
        <v>86</v>
      </c>
      <c r="BB140" s="134" t="s">
        <v>827</v>
      </c>
      <c r="BC140" s="120" t="s">
        <v>86</v>
      </c>
    </row>
    <row r="141" spans="1:55" ht="14.25" customHeight="1">
      <c r="A141" t="str">
        <f>IFERROR(VLOOKUP(AV141,Nómina!B:E,4,0),"")</f>
        <v>MARIA ELIANA BENAVIDES HIGUERA </v>
      </c>
      <c r="B141" t="str">
        <f>IFERROR(VLOOKUP(A141,Nómina!E:F,2,0),"")</f>
        <v>15168787-3</v>
      </c>
      <c r="C141" s="30">
        <f t="shared" si="35"/>
        <v>22689</v>
      </c>
      <c r="D141" t="str">
        <f t="shared" si="36"/>
        <v>2026-07-12</v>
      </c>
      <c r="E141" t="str">
        <f t="shared" si="37"/>
        <v>B2C</v>
      </c>
      <c r="F141" t="str">
        <f t="shared" si="38"/>
        <v>Masaje</v>
      </c>
      <c r="G141" t="str">
        <f t="shared" si="39"/>
        <v>Pareja</v>
      </c>
      <c r="H141" t="str">
        <f t="shared" si="40"/>
        <v>60min</v>
      </c>
      <c r="I141" t="str">
        <f t="shared" si="41"/>
        <v>Relajante</v>
      </c>
      <c r="J141" t="str">
        <f t="shared" si="42"/>
        <v>LAS CONDES</v>
      </c>
      <c r="K141" t="str">
        <f t="shared" si="43"/>
        <v>Ninguno</v>
      </c>
      <c r="L141">
        <f t="shared" si="44"/>
        <v>0</v>
      </c>
      <c r="M141">
        <f t="shared" si="45"/>
        <v>0</v>
      </c>
      <c r="N141" t="str">
        <f t="shared" si="46"/>
        <v/>
      </c>
      <c r="O141" s="10" t="str">
        <f>+VLOOKUP(Z141,listas!$B:$C,2,0)</f>
        <v>B2C</v>
      </c>
      <c r="P141" s="11">
        <f t="shared" si="34"/>
        <v>45000</v>
      </c>
      <c r="Q141" s="11">
        <f t="shared" si="47"/>
        <v>22689</v>
      </c>
      <c r="R141" s="59">
        <f t="shared" si="48"/>
        <v>7</v>
      </c>
      <c r="S141" s="59">
        <f t="shared" si="49"/>
        <v>12</v>
      </c>
      <c r="T141" s="11">
        <f t="shared" si="50"/>
        <v>1</v>
      </c>
      <c r="U141" s="120" t="s">
        <v>80</v>
      </c>
      <c r="V141" s="120" t="s">
        <v>828</v>
      </c>
      <c r="W141" s="120" t="s">
        <v>788</v>
      </c>
      <c r="X141" s="120" t="s">
        <v>814</v>
      </c>
      <c r="Y141" s="120" t="s">
        <v>156</v>
      </c>
      <c r="Z141" s="120" t="s">
        <v>98</v>
      </c>
      <c r="AA141" s="120" t="s">
        <v>99</v>
      </c>
      <c r="AB141" s="120" t="s">
        <v>4</v>
      </c>
      <c r="AC141" s="120" t="s">
        <v>82</v>
      </c>
      <c r="AD141" s="120" t="s">
        <v>119</v>
      </c>
      <c r="AE141" s="120" t="s">
        <v>84</v>
      </c>
      <c r="AF141" s="120" t="s">
        <v>85</v>
      </c>
      <c r="AG141" s="133">
        <v>45000</v>
      </c>
      <c r="AH141" s="133">
        <v>45000</v>
      </c>
      <c r="AI141" s="133">
        <v>0</v>
      </c>
      <c r="AJ141" s="133">
        <v>0</v>
      </c>
      <c r="AK141" s="133">
        <v>27000</v>
      </c>
      <c r="AL141" s="120" t="s">
        <v>86</v>
      </c>
      <c r="AM141" s="120" t="s">
        <v>86</v>
      </c>
      <c r="AN141" s="120" t="s">
        <v>86</v>
      </c>
      <c r="AO141" s="120" t="s">
        <v>86</v>
      </c>
      <c r="AP141" s="120" t="s">
        <v>86</v>
      </c>
      <c r="AQ141" s="120" t="s">
        <v>555</v>
      </c>
      <c r="AR141" s="120" t="s">
        <v>556</v>
      </c>
      <c r="AS141" s="120" t="s">
        <v>89</v>
      </c>
      <c r="AT141" s="120" t="s">
        <v>89</v>
      </c>
      <c r="AU141" s="120" t="s">
        <v>147</v>
      </c>
      <c r="AV141" s="120" t="s">
        <v>13</v>
      </c>
      <c r="AW141" s="120" t="s">
        <v>92</v>
      </c>
      <c r="AX141" s="120" t="s">
        <v>103</v>
      </c>
      <c r="AY141" s="120">
        <v>0</v>
      </c>
      <c r="AZ141" s="120">
        <v>0</v>
      </c>
      <c r="BA141" s="120" t="s">
        <v>86</v>
      </c>
      <c r="BB141" s="134" t="s">
        <v>829</v>
      </c>
      <c r="BC141" s="120" t="s">
        <v>86</v>
      </c>
    </row>
    <row r="142" spans="1:55" ht="14.25" customHeight="1">
      <c r="A142" t="str">
        <f>IFERROR(VLOOKUP(AV142,Nómina!B:E,4,0),"")</f>
        <v>ALEJANDRA PAZ SANCHEZ LENERO</v>
      </c>
      <c r="B142" t="str">
        <f>IFERROR(VLOOKUP(A142,Nómina!E:F,2,0),"")</f>
        <v>13715658-K</v>
      </c>
      <c r="C142" s="30">
        <f t="shared" si="35"/>
        <v>22689</v>
      </c>
      <c r="D142" t="str">
        <f t="shared" si="36"/>
        <v>2026-07-12</v>
      </c>
      <c r="E142" t="str">
        <f t="shared" si="37"/>
        <v>B2C</v>
      </c>
      <c r="F142" t="str">
        <f t="shared" si="38"/>
        <v>Masaje</v>
      </c>
      <c r="G142" t="str">
        <f t="shared" si="39"/>
        <v>Pareja</v>
      </c>
      <c r="H142" t="str">
        <f t="shared" si="40"/>
        <v>60min</v>
      </c>
      <c r="I142" t="str">
        <f t="shared" si="41"/>
        <v>Relajante</v>
      </c>
      <c r="J142" t="str">
        <f t="shared" si="42"/>
        <v>LAS CONDES</v>
      </c>
      <c r="K142" t="str">
        <f t="shared" si="43"/>
        <v>Ninguno</v>
      </c>
      <c r="L142">
        <f t="shared" si="44"/>
        <v>0</v>
      </c>
      <c r="M142">
        <f t="shared" si="45"/>
        <v>0</v>
      </c>
      <c r="N142" t="str">
        <f t="shared" si="46"/>
        <v/>
      </c>
      <c r="O142" s="10" t="str">
        <f>+VLOOKUP(Z142,listas!$B:$C,2,0)</f>
        <v>B2C</v>
      </c>
      <c r="P142" s="11">
        <f t="shared" si="34"/>
        <v>45000</v>
      </c>
      <c r="Q142" s="11">
        <f t="shared" si="47"/>
        <v>22689</v>
      </c>
      <c r="R142" s="59">
        <f t="shared" si="48"/>
        <v>7</v>
      </c>
      <c r="S142" s="59">
        <f t="shared" si="49"/>
        <v>12</v>
      </c>
      <c r="T142" s="11">
        <f t="shared" si="50"/>
        <v>1</v>
      </c>
      <c r="U142" s="120" t="s">
        <v>80</v>
      </c>
      <c r="V142" s="120" t="s">
        <v>828</v>
      </c>
      <c r="W142" s="120" t="s">
        <v>788</v>
      </c>
      <c r="X142" s="120" t="s">
        <v>814</v>
      </c>
      <c r="Y142" s="120" t="s">
        <v>156</v>
      </c>
      <c r="Z142" s="120" t="s">
        <v>98</v>
      </c>
      <c r="AA142" s="120" t="s">
        <v>99</v>
      </c>
      <c r="AB142" s="120" t="s">
        <v>4</v>
      </c>
      <c r="AC142" s="120" t="s">
        <v>82</v>
      </c>
      <c r="AD142" s="120" t="s">
        <v>119</v>
      </c>
      <c r="AE142" s="120" t="s">
        <v>84</v>
      </c>
      <c r="AF142" s="120" t="s">
        <v>85</v>
      </c>
      <c r="AG142" s="133">
        <v>45000</v>
      </c>
      <c r="AH142" s="133">
        <v>45000</v>
      </c>
      <c r="AI142" s="133">
        <v>0</v>
      </c>
      <c r="AJ142" s="133">
        <v>0</v>
      </c>
      <c r="AK142" s="133">
        <v>27000</v>
      </c>
      <c r="AL142" s="120" t="s">
        <v>86</v>
      </c>
      <c r="AM142" s="120" t="s">
        <v>86</v>
      </c>
      <c r="AN142" s="120" t="s">
        <v>86</v>
      </c>
      <c r="AO142" s="120" t="s">
        <v>86</v>
      </c>
      <c r="AP142" s="120" t="s">
        <v>86</v>
      </c>
      <c r="AQ142" s="120" t="s">
        <v>555</v>
      </c>
      <c r="AR142" s="120" t="s">
        <v>556</v>
      </c>
      <c r="AS142" s="120" t="s">
        <v>89</v>
      </c>
      <c r="AT142" s="120" t="s">
        <v>89</v>
      </c>
      <c r="AU142" s="120" t="s">
        <v>154</v>
      </c>
      <c r="AV142" s="120" t="s">
        <v>511</v>
      </c>
      <c r="AW142" s="120" t="s">
        <v>92</v>
      </c>
      <c r="AX142" s="120" t="s">
        <v>103</v>
      </c>
      <c r="AY142" s="120">
        <v>0</v>
      </c>
      <c r="AZ142" s="120">
        <v>0</v>
      </c>
      <c r="BA142" s="120" t="s">
        <v>86</v>
      </c>
      <c r="BB142" s="134" t="s">
        <v>829</v>
      </c>
      <c r="BC142" s="120" t="s">
        <v>86</v>
      </c>
    </row>
    <row r="143" spans="1:55" ht="14.25" customHeight="1">
      <c r="A143" t="str">
        <f>IFERROR(VLOOKUP(AV143,Nómina!B:E,4,0),"")</f>
        <v>MARIA ELIANA BENAVIDES HIGUERA </v>
      </c>
      <c r="B143" t="str">
        <f>IFERROR(VLOOKUP(A143,Nómina!E:F,2,0),"")</f>
        <v>15168787-3</v>
      </c>
      <c r="C143" s="30">
        <f t="shared" si="35"/>
        <v>2521</v>
      </c>
      <c r="D143" t="str">
        <f t="shared" si="36"/>
        <v>2026-07-12</v>
      </c>
      <c r="E143" t="str">
        <f t="shared" si="37"/>
        <v>B2C</v>
      </c>
      <c r="F143" t="str">
        <f t="shared" si="38"/>
        <v>Extra</v>
      </c>
      <c r="G143" t="str">
        <f t="shared" si="39"/>
        <v>Pareja</v>
      </c>
      <c r="H143" t="str">
        <f t="shared" si="40"/>
        <v>-</v>
      </c>
      <c r="I143" t="str">
        <f t="shared" si="41"/>
        <v>Extra por festivo o fin de semana</v>
      </c>
      <c r="J143" t="str">
        <f t="shared" si="42"/>
        <v>LAS CONDES</v>
      </c>
      <c r="K143" t="str">
        <f t="shared" si="43"/>
        <v>Ninguno</v>
      </c>
      <c r="L143">
        <f t="shared" si="44"/>
        <v>0</v>
      </c>
      <c r="M143">
        <f t="shared" si="45"/>
        <v>0</v>
      </c>
      <c r="N143" t="str">
        <f t="shared" si="46"/>
        <v/>
      </c>
      <c r="O143" s="10" t="str">
        <f>+VLOOKUP(Z143,listas!$B:$C,2,0)</f>
        <v>B2C</v>
      </c>
      <c r="P143" s="11">
        <f t="shared" si="34"/>
        <v>5000</v>
      </c>
      <c r="Q143" s="11">
        <f t="shared" si="47"/>
        <v>2521</v>
      </c>
      <c r="R143" s="59">
        <f t="shared" si="48"/>
        <v>7</v>
      </c>
      <c r="S143" s="59">
        <f t="shared" si="49"/>
        <v>12</v>
      </c>
      <c r="T143" s="11">
        <f t="shared" si="50"/>
        <v>1</v>
      </c>
      <c r="U143" s="138" t="s">
        <v>80</v>
      </c>
      <c r="V143" s="138" t="s">
        <v>828</v>
      </c>
      <c r="W143" s="138" t="s">
        <v>788</v>
      </c>
      <c r="X143" s="138" t="s">
        <v>814</v>
      </c>
      <c r="Y143" s="138" t="s">
        <v>156</v>
      </c>
      <c r="Z143" s="138" t="s">
        <v>98</v>
      </c>
      <c r="AA143" s="138" t="s">
        <v>99</v>
      </c>
      <c r="AB143" s="138" t="s">
        <v>4</v>
      </c>
      <c r="AC143" s="138" t="s">
        <v>104</v>
      </c>
      <c r="AD143" s="138" t="s">
        <v>119</v>
      </c>
      <c r="AE143" s="138" t="s">
        <v>105</v>
      </c>
      <c r="AF143" s="138" t="s">
        <v>438</v>
      </c>
      <c r="AG143" s="139">
        <v>5000</v>
      </c>
      <c r="AH143" s="139">
        <v>5000</v>
      </c>
      <c r="AI143" s="139">
        <v>0</v>
      </c>
      <c r="AJ143" s="139">
        <v>0</v>
      </c>
      <c r="AK143" s="139">
        <v>5000</v>
      </c>
      <c r="AL143" s="138" t="s">
        <v>86</v>
      </c>
      <c r="AM143" s="138" t="s">
        <v>86</v>
      </c>
      <c r="AN143" s="138" t="s">
        <v>86</v>
      </c>
      <c r="AO143" s="138" t="s">
        <v>86</v>
      </c>
      <c r="AP143" s="138" t="s">
        <v>86</v>
      </c>
      <c r="AQ143" s="138" t="s">
        <v>555</v>
      </c>
      <c r="AR143" s="138" t="s">
        <v>556</v>
      </c>
      <c r="AS143" s="138" t="s">
        <v>89</v>
      </c>
      <c r="AT143" s="138" t="s">
        <v>89</v>
      </c>
      <c r="AU143" s="138" t="s">
        <v>147</v>
      </c>
      <c r="AV143" s="138" t="s">
        <v>13</v>
      </c>
      <c r="AW143" s="138" t="s">
        <v>92</v>
      </c>
      <c r="AX143" s="138" t="s">
        <v>103</v>
      </c>
      <c r="AY143" s="138">
        <v>0</v>
      </c>
      <c r="AZ143" s="138">
        <v>0</v>
      </c>
      <c r="BA143" s="138" t="s">
        <v>86</v>
      </c>
      <c r="BB143" s="140" t="s">
        <v>829</v>
      </c>
      <c r="BC143" s="138" t="s">
        <v>86</v>
      </c>
    </row>
    <row r="144" spans="1:55" ht="14.25" customHeight="1">
      <c r="A144" t="str">
        <f>IFERROR(VLOOKUP(AV144,Nómina!B:E,4,0),"")</f>
        <v>ALEJANDRA PAZ SANCHEZ LENERO</v>
      </c>
      <c r="B144" t="str">
        <f>IFERROR(VLOOKUP(A144,Nómina!E:F,2,0),"")</f>
        <v>13715658-K</v>
      </c>
      <c r="C144" s="30">
        <f t="shared" si="35"/>
        <v>2521</v>
      </c>
      <c r="D144" t="str">
        <f t="shared" si="36"/>
        <v>2026-07-12</v>
      </c>
      <c r="E144" t="str">
        <f t="shared" si="37"/>
        <v>B2C</v>
      </c>
      <c r="F144" t="str">
        <f t="shared" si="38"/>
        <v>Extra</v>
      </c>
      <c r="G144" t="str">
        <f t="shared" si="39"/>
        <v>Pareja</v>
      </c>
      <c r="H144" t="str">
        <f t="shared" si="40"/>
        <v>-</v>
      </c>
      <c r="I144" t="str">
        <f t="shared" si="41"/>
        <v>Extra por festivo o fin de semana</v>
      </c>
      <c r="J144" t="str">
        <f t="shared" si="42"/>
        <v>LAS CONDES</v>
      </c>
      <c r="K144" t="str">
        <f t="shared" si="43"/>
        <v>Ninguno</v>
      </c>
      <c r="L144">
        <f t="shared" si="44"/>
        <v>0</v>
      </c>
      <c r="M144">
        <f t="shared" si="45"/>
        <v>0</v>
      </c>
      <c r="N144" t="str">
        <f t="shared" si="46"/>
        <v/>
      </c>
      <c r="O144" s="10" t="str">
        <f>+VLOOKUP(Z144,listas!$B:$C,2,0)</f>
        <v>B2C</v>
      </c>
      <c r="P144" s="11">
        <f t="shared" si="34"/>
        <v>5000</v>
      </c>
      <c r="Q144" s="11">
        <f t="shared" si="47"/>
        <v>2521</v>
      </c>
      <c r="R144" s="59">
        <f t="shared" si="48"/>
        <v>7</v>
      </c>
      <c r="S144" s="59">
        <f t="shared" si="49"/>
        <v>12</v>
      </c>
      <c r="T144" s="11">
        <f t="shared" si="50"/>
        <v>1</v>
      </c>
      <c r="U144" s="138" t="s">
        <v>80</v>
      </c>
      <c r="V144" s="138" t="s">
        <v>828</v>
      </c>
      <c r="W144" s="138" t="s">
        <v>788</v>
      </c>
      <c r="X144" s="138" t="s">
        <v>814</v>
      </c>
      <c r="Y144" s="138" t="s">
        <v>156</v>
      </c>
      <c r="Z144" s="138" t="s">
        <v>98</v>
      </c>
      <c r="AA144" s="138" t="s">
        <v>99</v>
      </c>
      <c r="AB144" s="138" t="s">
        <v>4</v>
      </c>
      <c r="AC144" s="138" t="s">
        <v>104</v>
      </c>
      <c r="AD144" s="138" t="s">
        <v>119</v>
      </c>
      <c r="AE144" s="138" t="s">
        <v>105</v>
      </c>
      <c r="AF144" s="138" t="s">
        <v>438</v>
      </c>
      <c r="AG144" s="139">
        <v>5000</v>
      </c>
      <c r="AH144" s="139">
        <v>5000</v>
      </c>
      <c r="AI144" s="139">
        <v>0</v>
      </c>
      <c r="AJ144" s="139">
        <v>0</v>
      </c>
      <c r="AK144" s="139">
        <v>5000</v>
      </c>
      <c r="AL144" s="138" t="s">
        <v>86</v>
      </c>
      <c r="AM144" s="138" t="s">
        <v>86</v>
      </c>
      <c r="AN144" s="138" t="s">
        <v>86</v>
      </c>
      <c r="AO144" s="138" t="s">
        <v>86</v>
      </c>
      <c r="AP144" s="138" t="s">
        <v>86</v>
      </c>
      <c r="AQ144" s="138" t="s">
        <v>555</v>
      </c>
      <c r="AR144" s="138" t="s">
        <v>556</v>
      </c>
      <c r="AS144" s="138" t="s">
        <v>89</v>
      </c>
      <c r="AT144" s="138" t="s">
        <v>89</v>
      </c>
      <c r="AU144" s="138" t="s">
        <v>154</v>
      </c>
      <c r="AV144" s="138" t="s">
        <v>511</v>
      </c>
      <c r="AW144" s="138" t="s">
        <v>92</v>
      </c>
      <c r="AX144" s="138" t="s">
        <v>103</v>
      </c>
      <c r="AY144" s="138">
        <v>0</v>
      </c>
      <c r="AZ144" s="138">
        <v>0</v>
      </c>
      <c r="BA144" s="138" t="s">
        <v>86</v>
      </c>
      <c r="BB144" s="140" t="s">
        <v>829</v>
      </c>
      <c r="BC144" s="138" t="s">
        <v>86</v>
      </c>
    </row>
    <row r="145" spans="1:55" ht="14.25" customHeight="1">
      <c r="A145" t="str">
        <f>IFERROR(VLOOKUP(AV145,Nómina!B:E,4,0),"")</f>
        <v>GENESIS VALENTINA SALAZAR GUEVARA</v>
      </c>
      <c r="B145" t="str">
        <f>IFERROR(VLOOKUP(A145,Nómina!E:F,2,0),"")</f>
        <v>27828546-4</v>
      </c>
      <c r="C145" s="30">
        <f t="shared" si="35"/>
        <v>30252</v>
      </c>
      <c r="D145" t="str">
        <f t="shared" si="36"/>
        <v>2026-07-12</v>
      </c>
      <c r="E145" t="str">
        <f t="shared" si="37"/>
        <v>B2C</v>
      </c>
      <c r="F145" t="str">
        <f t="shared" si="38"/>
        <v>Facial</v>
      </c>
      <c r="G145" t="str">
        <f t="shared" si="39"/>
        <v>Individual</v>
      </c>
      <c r="H145" t="str">
        <f t="shared" si="40"/>
        <v>60min</v>
      </c>
      <c r="I145" t="str">
        <f t="shared" si="41"/>
        <v>Limpieza profunda</v>
      </c>
      <c r="J145" t="str">
        <f t="shared" si="42"/>
        <v>ZONA CORDILLERANA</v>
      </c>
      <c r="K145" t="str">
        <f t="shared" si="43"/>
        <v>Ninguno</v>
      </c>
      <c r="L145">
        <f t="shared" si="44"/>
        <v>0</v>
      </c>
      <c r="M145">
        <f t="shared" si="45"/>
        <v>0</v>
      </c>
      <c r="N145" t="str">
        <f t="shared" si="46"/>
        <v/>
      </c>
      <c r="O145" s="10" t="str">
        <f>+VLOOKUP(Z145,listas!$B:$C,2,0)</f>
        <v>B2C</v>
      </c>
      <c r="P145" s="11">
        <f t="shared" si="34"/>
        <v>60000</v>
      </c>
      <c r="Q145" s="11">
        <f t="shared" si="47"/>
        <v>30252</v>
      </c>
      <c r="R145" s="59">
        <f t="shared" si="48"/>
        <v>7</v>
      </c>
      <c r="S145" s="59">
        <f t="shared" si="49"/>
        <v>12</v>
      </c>
      <c r="T145" s="11">
        <f t="shared" si="50"/>
        <v>1</v>
      </c>
      <c r="U145" s="120" t="s">
        <v>80</v>
      </c>
      <c r="V145" s="120" t="s">
        <v>830</v>
      </c>
      <c r="W145" s="120" t="s">
        <v>814</v>
      </c>
      <c r="X145" s="120" t="s">
        <v>814</v>
      </c>
      <c r="Y145" s="120" t="s">
        <v>134</v>
      </c>
      <c r="Z145" s="120" t="s">
        <v>98</v>
      </c>
      <c r="AA145" s="120" t="s">
        <v>99</v>
      </c>
      <c r="AB145" s="120" t="s">
        <v>4</v>
      </c>
      <c r="AC145" s="120" t="s">
        <v>137</v>
      </c>
      <c r="AD145" s="120" t="s">
        <v>83</v>
      </c>
      <c r="AE145" s="120" t="s">
        <v>84</v>
      </c>
      <c r="AF145" s="120" t="s">
        <v>831</v>
      </c>
      <c r="AG145" s="133">
        <v>60000</v>
      </c>
      <c r="AH145" s="133">
        <v>60000</v>
      </c>
      <c r="AI145" s="133">
        <v>0</v>
      </c>
      <c r="AJ145" s="133">
        <v>0</v>
      </c>
      <c r="AK145" s="133">
        <v>36000</v>
      </c>
      <c r="AL145" s="120" t="s">
        <v>86</v>
      </c>
      <c r="AM145" s="120" t="s">
        <v>86</v>
      </c>
      <c r="AN145" s="120" t="s">
        <v>86</v>
      </c>
      <c r="AO145" s="120" t="s">
        <v>86</v>
      </c>
      <c r="AP145" s="120" t="s">
        <v>86</v>
      </c>
      <c r="AQ145" s="120" t="s">
        <v>832</v>
      </c>
      <c r="AR145" s="120" t="s">
        <v>833</v>
      </c>
      <c r="AS145" s="120" t="s">
        <v>443</v>
      </c>
      <c r="AT145" s="120" t="s">
        <v>443</v>
      </c>
      <c r="AU145" s="120" t="s">
        <v>109</v>
      </c>
      <c r="AV145" s="120" t="s">
        <v>549</v>
      </c>
      <c r="AW145" s="120" t="s">
        <v>92</v>
      </c>
      <c r="AX145" s="120" t="s">
        <v>103</v>
      </c>
      <c r="AY145" s="120">
        <v>0</v>
      </c>
      <c r="AZ145" s="120">
        <v>0</v>
      </c>
      <c r="BA145" s="120" t="s">
        <v>86</v>
      </c>
      <c r="BB145" s="134" t="s">
        <v>834</v>
      </c>
      <c r="BC145" s="120" t="s">
        <v>86</v>
      </c>
    </row>
    <row r="146" spans="1:55" ht="14.25" customHeight="1">
      <c r="A146" t="str">
        <f>IFERROR(VLOOKUP(AV146,Nómina!B:E,4,0),"")</f>
        <v>GENESIS VALENTINA SALAZAR GUEVARA</v>
      </c>
      <c r="B146" t="str">
        <f>IFERROR(VLOOKUP(A146,Nómina!E:F,2,0),"")</f>
        <v>27828546-4</v>
      </c>
      <c r="C146" s="30">
        <f t="shared" si="35"/>
        <v>7563</v>
      </c>
      <c r="D146" t="str">
        <f t="shared" si="36"/>
        <v>2026-07-12</v>
      </c>
      <c r="E146" t="str">
        <f t="shared" si="37"/>
        <v>B2C</v>
      </c>
      <c r="F146" t="str">
        <f t="shared" si="38"/>
        <v>Addon</v>
      </c>
      <c r="G146" t="str">
        <f t="shared" si="39"/>
        <v>Individual</v>
      </c>
      <c r="H146" t="str">
        <f t="shared" si="40"/>
        <v>15min</v>
      </c>
      <c r="I146" t="str">
        <f t="shared" si="41"/>
        <v>Head Massage</v>
      </c>
      <c r="J146" t="str">
        <f t="shared" si="42"/>
        <v>ZONA CORDILLERANA</v>
      </c>
      <c r="K146" t="str">
        <f t="shared" si="43"/>
        <v>Ninguno</v>
      </c>
      <c r="L146">
        <f t="shared" si="44"/>
        <v>0</v>
      </c>
      <c r="M146">
        <f t="shared" si="45"/>
        <v>0</v>
      </c>
      <c r="N146" t="str">
        <f t="shared" si="46"/>
        <v/>
      </c>
      <c r="O146" s="10" t="str">
        <f>+VLOOKUP(Z146,listas!$B:$C,2,0)</f>
        <v>B2C</v>
      </c>
      <c r="P146" s="11">
        <f t="shared" si="34"/>
        <v>15000</v>
      </c>
      <c r="Q146" s="11">
        <f t="shared" si="47"/>
        <v>7563</v>
      </c>
      <c r="R146" s="59">
        <f t="shared" si="48"/>
        <v>7</v>
      </c>
      <c r="S146" s="59">
        <f t="shared" si="49"/>
        <v>12</v>
      </c>
      <c r="T146" s="11">
        <f t="shared" si="50"/>
        <v>1</v>
      </c>
      <c r="U146" s="135" t="s">
        <v>80</v>
      </c>
      <c r="V146" s="135" t="s">
        <v>830</v>
      </c>
      <c r="W146" s="135" t="s">
        <v>814</v>
      </c>
      <c r="X146" s="135" t="s">
        <v>814</v>
      </c>
      <c r="Y146" s="135" t="s">
        <v>134</v>
      </c>
      <c r="Z146" s="135" t="s">
        <v>98</v>
      </c>
      <c r="AA146" s="135" t="s">
        <v>99</v>
      </c>
      <c r="AB146" s="135" t="s">
        <v>4</v>
      </c>
      <c r="AC146" s="135" t="s">
        <v>93</v>
      </c>
      <c r="AD146" s="135" t="s">
        <v>83</v>
      </c>
      <c r="AE146" s="135" t="s">
        <v>94</v>
      </c>
      <c r="AF146" s="135" t="s">
        <v>110</v>
      </c>
      <c r="AG146" s="136">
        <v>15000</v>
      </c>
      <c r="AH146" s="136">
        <v>15000</v>
      </c>
      <c r="AI146" s="136">
        <v>0</v>
      </c>
      <c r="AJ146" s="136">
        <v>0</v>
      </c>
      <c r="AK146" s="136">
        <v>7290</v>
      </c>
      <c r="AL146" s="135" t="s">
        <v>86</v>
      </c>
      <c r="AM146" s="135" t="s">
        <v>86</v>
      </c>
      <c r="AN146" s="135" t="s">
        <v>86</v>
      </c>
      <c r="AO146" s="135" t="s">
        <v>86</v>
      </c>
      <c r="AP146" s="135" t="s">
        <v>86</v>
      </c>
      <c r="AQ146" s="135" t="s">
        <v>832</v>
      </c>
      <c r="AR146" s="135" t="s">
        <v>833</v>
      </c>
      <c r="AS146" s="135" t="s">
        <v>443</v>
      </c>
      <c r="AT146" s="135" t="s">
        <v>443</v>
      </c>
      <c r="AU146" s="135" t="s">
        <v>109</v>
      </c>
      <c r="AV146" s="135" t="s">
        <v>549</v>
      </c>
      <c r="AW146" s="135" t="s">
        <v>92</v>
      </c>
      <c r="AX146" s="135" t="s">
        <v>103</v>
      </c>
      <c r="AY146" s="135">
        <v>0</v>
      </c>
      <c r="AZ146" s="135">
        <v>0</v>
      </c>
      <c r="BA146" s="135" t="s">
        <v>86</v>
      </c>
      <c r="BB146" s="137" t="s">
        <v>834</v>
      </c>
      <c r="BC146" s="135" t="s">
        <v>86</v>
      </c>
    </row>
    <row r="147" spans="1:55" ht="14.25" customHeight="1">
      <c r="A147" t="str">
        <f>IFERROR(VLOOKUP(AV147,Nómina!B:E,4,0),"")</f>
        <v>GENESIS VALENTINA SALAZAR GUEVARA</v>
      </c>
      <c r="B147" t="str">
        <f>IFERROR(VLOOKUP(A147,Nómina!E:F,2,0),"")</f>
        <v>27828546-4</v>
      </c>
      <c r="C147" s="30">
        <f t="shared" si="35"/>
        <v>3185</v>
      </c>
      <c r="D147" t="str">
        <f t="shared" si="36"/>
        <v>2026-07-12</v>
      </c>
      <c r="E147" t="str">
        <f t="shared" si="37"/>
        <v>B2C</v>
      </c>
      <c r="F147" t="str">
        <f t="shared" si="38"/>
        <v>Extra</v>
      </c>
      <c r="G147" t="str">
        <f t="shared" si="39"/>
        <v>Individual</v>
      </c>
      <c r="H147" t="str">
        <f t="shared" si="40"/>
        <v>-</v>
      </c>
      <c r="I147" t="str">
        <f t="shared" si="41"/>
        <v>Extra de transporte</v>
      </c>
      <c r="J147" t="str">
        <f t="shared" si="42"/>
        <v>ZONA CORDILLERANA</v>
      </c>
      <c r="K147" t="str">
        <f t="shared" si="43"/>
        <v>Ninguno</v>
      </c>
      <c r="L147">
        <f t="shared" si="44"/>
        <v>0</v>
      </c>
      <c r="M147">
        <f t="shared" si="45"/>
        <v>0</v>
      </c>
      <c r="N147" t="str">
        <f t="shared" si="46"/>
        <v/>
      </c>
      <c r="O147" s="10" t="str">
        <f>+VLOOKUP(Z147,listas!$B:$C,2,0)</f>
        <v>B2C</v>
      </c>
      <c r="P147" s="11">
        <f t="shared" si="34"/>
        <v>3990</v>
      </c>
      <c r="Q147" s="11">
        <f t="shared" si="47"/>
        <v>3185</v>
      </c>
      <c r="R147" s="59">
        <f t="shared" si="48"/>
        <v>7</v>
      </c>
      <c r="S147" s="59">
        <f t="shared" si="49"/>
        <v>12</v>
      </c>
      <c r="T147" s="11">
        <f t="shared" si="50"/>
        <v>1</v>
      </c>
      <c r="U147" s="138" t="s">
        <v>80</v>
      </c>
      <c r="V147" s="138" t="s">
        <v>830</v>
      </c>
      <c r="W147" s="138" t="s">
        <v>814</v>
      </c>
      <c r="X147" s="138" t="s">
        <v>814</v>
      </c>
      <c r="Y147" s="138" t="s">
        <v>134</v>
      </c>
      <c r="Z147" s="138" t="s">
        <v>98</v>
      </c>
      <c r="AA147" s="138" t="s">
        <v>99</v>
      </c>
      <c r="AB147" s="138" t="s">
        <v>4</v>
      </c>
      <c r="AC147" s="138" t="s">
        <v>104</v>
      </c>
      <c r="AD147" s="138" t="s">
        <v>83</v>
      </c>
      <c r="AE147" s="138" t="s">
        <v>105</v>
      </c>
      <c r="AF147" s="138" t="s">
        <v>106</v>
      </c>
      <c r="AG147" s="139">
        <v>3990</v>
      </c>
      <c r="AH147" s="139">
        <v>3990</v>
      </c>
      <c r="AI147" s="139">
        <v>0</v>
      </c>
      <c r="AJ147" s="139">
        <v>0</v>
      </c>
      <c r="AK147" s="139">
        <v>3990</v>
      </c>
      <c r="AL147" s="138" t="s">
        <v>86</v>
      </c>
      <c r="AM147" s="138" t="s">
        <v>86</v>
      </c>
      <c r="AN147" s="138" t="s">
        <v>86</v>
      </c>
      <c r="AO147" s="138" t="s">
        <v>86</v>
      </c>
      <c r="AP147" s="138" t="s">
        <v>86</v>
      </c>
      <c r="AQ147" s="138" t="s">
        <v>832</v>
      </c>
      <c r="AR147" s="138" t="s">
        <v>833</v>
      </c>
      <c r="AS147" s="138" t="s">
        <v>443</v>
      </c>
      <c r="AT147" s="138" t="s">
        <v>443</v>
      </c>
      <c r="AU147" s="138" t="s">
        <v>109</v>
      </c>
      <c r="AV147" s="138" t="s">
        <v>549</v>
      </c>
      <c r="AW147" s="138" t="s">
        <v>92</v>
      </c>
      <c r="AX147" s="138" t="s">
        <v>103</v>
      </c>
      <c r="AY147" s="138">
        <v>0</v>
      </c>
      <c r="AZ147" s="138">
        <v>0</v>
      </c>
      <c r="BA147" s="138" t="s">
        <v>86</v>
      </c>
      <c r="BB147" s="140" t="s">
        <v>834</v>
      </c>
      <c r="BC147" s="138" t="s">
        <v>86</v>
      </c>
    </row>
    <row r="148" spans="1:55" ht="14.25" customHeight="1">
      <c r="A148" t="str">
        <f>IFERROR(VLOOKUP(AV148,Nómina!B:E,4,0),"")</f>
        <v>ALEJANDRA PAZ SANCHEZ LENERO</v>
      </c>
      <c r="B148" t="str">
        <f>IFERROR(VLOOKUP(A148,Nómina!E:F,2,0),"")</f>
        <v>13715658-K</v>
      </c>
      <c r="C148" s="30">
        <f t="shared" si="35"/>
        <v>22689</v>
      </c>
      <c r="D148" t="str">
        <f t="shared" si="36"/>
        <v>2026-07-12</v>
      </c>
      <c r="E148" t="str">
        <f t="shared" si="37"/>
        <v>HOTEL</v>
      </c>
      <c r="F148" t="str">
        <f t="shared" si="38"/>
        <v>Masaje</v>
      </c>
      <c r="G148" t="str">
        <f t="shared" si="39"/>
        <v>Pareja</v>
      </c>
      <c r="H148" t="str">
        <f t="shared" si="40"/>
        <v>60min</v>
      </c>
      <c r="I148" t="str">
        <f t="shared" si="41"/>
        <v>Relajante</v>
      </c>
      <c r="J148" t="str">
        <f t="shared" si="42"/>
        <v>PROVIDENCIA</v>
      </c>
      <c r="K148" t="str">
        <f t="shared" si="43"/>
        <v>Hab: 204. Huésped: Ignacio Toro &amp; María Catalina Fernández.</v>
      </c>
      <c r="L148">
        <f t="shared" si="44"/>
        <v>0</v>
      </c>
      <c r="M148">
        <f t="shared" si="45"/>
        <v>0</v>
      </c>
      <c r="N148" t="str">
        <f t="shared" si="46"/>
        <v/>
      </c>
      <c r="O148" s="10" t="str">
        <f>+VLOOKUP(Z148,listas!$B:$C,2,0)</f>
        <v>HOTEL</v>
      </c>
      <c r="P148" s="11">
        <f t="shared" si="34"/>
        <v>45000</v>
      </c>
      <c r="Q148" s="11">
        <f t="shared" si="47"/>
        <v>22689</v>
      </c>
      <c r="R148" s="59">
        <f t="shared" si="48"/>
        <v>7</v>
      </c>
      <c r="S148" s="59">
        <f t="shared" si="49"/>
        <v>12</v>
      </c>
      <c r="T148" s="11">
        <f t="shared" si="50"/>
        <v>1</v>
      </c>
      <c r="U148" s="120" t="s">
        <v>80</v>
      </c>
      <c r="V148" s="120" t="s">
        <v>835</v>
      </c>
      <c r="W148" s="120" t="s">
        <v>814</v>
      </c>
      <c r="X148" s="120" t="s">
        <v>814</v>
      </c>
      <c r="Y148" s="120" t="s">
        <v>142</v>
      </c>
      <c r="Z148" s="120" t="s">
        <v>5</v>
      </c>
      <c r="AA148" s="120" t="s">
        <v>81</v>
      </c>
      <c r="AB148" s="120" t="s">
        <v>5</v>
      </c>
      <c r="AC148" s="120" t="s">
        <v>82</v>
      </c>
      <c r="AD148" s="120" t="s">
        <v>119</v>
      </c>
      <c r="AE148" s="120" t="s">
        <v>84</v>
      </c>
      <c r="AF148" s="120" t="s">
        <v>85</v>
      </c>
      <c r="AG148" s="133">
        <v>45000</v>
      </c>
      <c r="AH148" s="133">
        <v>45000</v>
      </c>
      <c r="AI148" s="133">
        <v>0</v>
      </c>
      <c r="AJ148" s="133">
        <v>0</v>
      </c>
      <c r="AK148" s="133">
        <v>27000</v>
      </c>
      <c r="AL148" s="120" t="s">
        <v>86</v>
      </c>
      <c r="AM148" s="120" t="s">
        <v>86</v>
      </c>
      <c r="AN148" s="120" t="s">
        <v>86</v>
      </c>
      <c r="AO148" s="120" t="s">
        <v>86</v>
      </c>
      <c r="AP148" s="120" t="s">
        <v>86</v>
      </c>
      <c r="AQ148" s="120" t="s">
        <v>588</v>
      </c>
      <c r="AR148" s="120" t="s">
        <v>589</v>
      </c>
      <c r="AS148" s="120" t="s">
        <v>143</v>
      </c>
      <c r="AT148" s="120" t="s">
        <v>143</v>
      </c>
      <c r="AU148" s="120" t="s">
        <v>154</v>
      </c>
      <c r="AV148" s="120" t="s">
        <v>511</v>
      </c>
      <c r="AW148" s="120" t="s">
        <v>92</v>
      </c>
      <c r="AX148" s="120" t="s">
        <v>836</v>
      </c>
      <c r="AY148" s="120">
        <v>0</v>
      </c>
      <c r="AZ148" s="120">
        <v>0</v>
      </c>
      <c r="BA148" s="120" t="s">
        <v>86</v>
      </c>
      <c r="BB148" s="134" t="s">
        <v>837</v>
      </c>
      <c r="BC148" s="120" t="s">
        <v>86</v>
      </c>
    </row>
    <row r="149" spans="1:55" ht="14.25" customHeight="1">
      <c r="A149" t="str">
        <f>IFERROR(VLOOKUP(AV149,Nómina!B:E,4,0),"")</f>
        <v>SERGIO RODRÍGUEZ</v>
      </c>
      <c r="B149" t="str">
        <f>IFERROR(VLOOKUP(A149,Nómina!E:F,2,0),"")</f>
        <v>27988098-6</v>
      </c>
      <c r="C149" s="30">
        <f t="shared" si="35"/>
        <v>22689</v>
      </c>
      <c r="D149" t="str">
        <f t="shared" si="36"/>
        <v>2026-07-12</v>
      </c>
      <c r="E149" t="str">
        <f t="shared" si="37"/>
        <v>HOTEL</v>
      </c>
      <c r="F149" t="str">
        <f t="shared" si="38"/>
        <v>Masaje</v>
      </c>
      <c r="G149" t="str">
        <f t="shared" si="39"/>
        <v>Pareja</v>
      </c>
      <c r="H149" t="str">
        <f t="shared" si="40"/>
        <v>60min</v>
      </c>
      <c r="I149" t="str">
        <f t="shared" si="41"/>
        <v>Relajante</v>
      </c>
      <c r="J149" t="str">
        <f t="shared" si="42"/>
        <v>PROVIDENCIA</v>
      </c>
      <c r="K149" t="str">
        <f t="shared" si="43"/>
        <v>Hab: 204. Huésped: Ignacio Toro &amp; María Catalina Fernández.</v>
      </c>
      <c r="L149">
        <f t="shared" si="44"/>
        <v>0</v>
      </c>
      <c r="M149">
        <f t="shared" si="45"/>
        <v>0</v>
      </c>
      <c r="N149" t="str">
        <f t="shared" si="46"/>
        <v/>
      </c>
      <c r="O149" s="10" t="str">
        <f>+VLOOKUP(Z149,listas!$B:$C,2,0)</f>
        <v>HOTEL</v>
      </c>
      <c r="P149" s="11">
        <f t="shared" si="34"/>
        <v>45000</v>
      </c>
      <c r="Q149" s="11">
        <f t="shared" si="47"/>
        <v>22689</v>
      </c>
      <c r="R149" s="59">
        <f t="shared" si="48"/>
        <v>7</v>
      </c>
      <c r="S149" s="59">
        <f t="shared" si="49"/>
        <v>12</v>
      </c>
      <c r="T149" s="11">
        <f t="shared" si="50"/>
        <v>1</v>
      </c>
      <c r="U149" s="120" t="s">
        <v>80</v>
      </c>
      <c r="V149" s="120" t="s">
        <v>835</v>
      </c>
      <c r="W149" s="120" t="s">
        <v>814</v>
      </c>
      <c r="X149" s="120" t="s">
        <v>814</v>
      </c>
      <c r="Y149" s="120" t="s">
        <v>142</v>
      </c>
      <c r="Z149" s="120" t="s">
        <v>5</v>
      </c>
      <c r="AA149" s="120" t="s">
        <v>81</v>
      </c>
      <c r="AB149" s="120" t="s">
        <v>5</v>
      </c>
      <c r="AC149" s="120" t="s">
        <v>82</v>
      </c>
      <c r="AD149" s="120" t="s">
        <v>119</v>
      </c>
      <c r="AE149" s="120" t="s">
        <v>84</v>
      </c>
      <c r="AF149" s="120" t="s">
        <v>85</v>
      </c>
      <c r="AG149" s="133">
        <v>45000</v>
      </c>
      <c r="AH149" s="133">
        <v>45000</v>
      </c>
      <c r="AI149" s="133">
        <v>0</v>
      </c>
      <c r="AJ149" s="133">
        <v>0</v>
      </c>
      <c r="AK149" s="133">
        <v>27000</v>
      </c>
      <c r="AL149" s="120" t="s">
        <v>86</v>
      </c>
      <c r="AM149" s="120" t="s">
        <v>86</v>
      </c>
      <c r="AN149" s="120" t="s">
        <v>86</v>
      </c>
      <c r="AO149" s="120" t="s">
        <v>86</v>
      </c>
      <c r="AP149" s="120" t="s">
        <v>86</v>
      </c>
      <c r="AQ149" s="120" t="s">
        <v>588</v>
      </c>
      <c r="AR149" s="120" t="s">
        <v>589</v>
      </c>
      <c r="AS149" s="120" t="s">
        <v>143</v>
      </c>
      <c r="AT149" s="120" t="s">
        <v>143</v>
      </c>
      <c r="AU149" s="120" t="s">
        <v>315</v>
      </c>
      <c r="AV149" s="120" t="s">
        <v>316</v>
      </c>
      <c r="AW149" s="120" t="s">
        <v>92</v>
      </c>
      <c r="AX149" s="120" t="s">
        <v>836</v>
      </c>
      <c r="AY149" s="120">
        <v>0</v>
      </c>
      <c r="AZ149" s="120">
        <v>0</v>
      </c>
      <c r="BA149" s="120" t="s">
        <v>86</v>
      </c>
      <c r="BB149" s="134" t="s">
        <v>837</v>
      </c>
      <c r="BC149" s="120" t="s">
        <v>86</v>
      </c>
    </row>
    <row r="150" spans="1:55" ht="14.25" customHeight="1">
      <c r="A150" t="str">
        <f>IFERROR(VLOOKUP(AV150,Nómina!B:E,4,0),"")</f>
        <v>GENESIS DANIELA PIMENTEL HERRERA</v>
      </c>
      <c r="B150" t="str">
        <f>IFERROR(VLOOKUP(A150,Nómina!E:F,2,0),"")</f>
        <v>26598096-1</v>
      </c>
      <c r="C150" s="30">
        <f t="shared" si="35"/>
        <v>22689</v>
      </c>
      <c r="D150" t="str">
        <f t="shared" si="36"/>
        <v>2026-07-12</v>
      </c>
      <c r="E150" t="str">
        <f t="shared" si="37"/>
        <v>B2C</v>
      </c>
      <c r="F150" t="str">
        <f t="shared" si="38"/>
        <v>Masaje</v>
      </c>
      <c r="G150" t="str">
        <f t="shared" si="39"/>
        <v>Individual</v>
      </c>
      <c r="H150" t="str">
        <f t="shared" si="40"/>
        <v>60min</v>
      </c>
      <c r="I150" t="str">
        <f t="shared" si="41"/>
        <v>Tejido profundo</v>
      </c>
      <c r="J150" t="str">
        <f t="shared" si="42"/>
        <v>ÑUÑOA</v>
      </c>
      <c r="K150" t="str">
        <f t="shared" si="43"/>
        <v>Ninguno</v>
      </c>
      <c r="L150">
        <f t="shared" si="44"/>
        <v>0</v>
      </c>
      <c r="M150">
        <f t="shared" si="45"/>
        <v>0</v>
      </c>
      <c r="N150" t="str">
        <f t="shared" si="46"/>
        <v/>
      </c>
      <c r="O150" s="10" t="str">
        <f>+VLOOKUP(Z150,listas!$B:$C,2,0)</f>
        <v>B2C</v>
      </c>
      <c r="P150" s="11">
        <f t="shared" si="34"/>
        <v>45000</v>
      </c>
      <c r="Q150" s="11">
        <f t="shared" si="47"/>
        <v>22689</v>
      </c>
      <c r="R150" s="59">
        <f t="shared" si="48"/>
        <v>7</v>
      </c>
      <c r="S150" s="59">
        <f t="shared" si="49"/>
        <v>12</v>
      </c>
      <c r="T150" s="11">
        <f t="shared" si="50"/>
        <v>1</v>
      </c>
      <c r="U150" s="120" t="s">
        <v>80</v>
      </c>
      <c r="V150" s="120" t="s">
        <v>838</v>
      </c>
      <c r="W150" s="120" t="s">
        <v>814</v>
      </c>
      <c r="X150" s="120" t="s">
        <v>814</v>
      </c>
      <c r="Y150" s="120" t="s">
        <v>159</v>
      </c>
      <c r="Z150" s="120" t="s">
        <v>98</v>
      </c>
      <c r="AA150" s="120" t="s">
        <v>99</v>
      </c>
      <c r="AB150" s="120" t="s">
        <v>4</v>
      </c>
      <c r="AC150" s="120" t="s">
        <v>82</v>
      </c>
      <c r="AD150" s="120" t="s">
        <v>83</v>
      </c>
      <c r="AE150" s="120" t="s">
        <v>84</v>
      </c>
      <c r="AF150" s="120" t="s">
        <v>123</v>
      </c>
      <c r="AG150" s="133">
        <v>45000</v>
      </c>
      <c r="AH150" s="133">
        <v>45000</v>
      </c>
      <c r="AI150" s="133">
        <v>0</v>
      </c>
      <c r="AJ150" s="133">
        <v>0</v>
      </c>
      <c r="AK150" s="133">
        <v>27000</v>
      </c>
      <c r="AL150" s="120" t="s">
        <v>86</v>
      </c>
      <c r="AM150" s="120" t="s">
        <v>86</v>
      </c>
      <c r="AN150" s="120" t="s">
        <v>86</v>
      </c>
      <c r="AO150" s="120" t="s">
        <v>86</v>
      </c>
      <c r="AP150" s="120" t="s">
        <v>86</v>
      </c>
      <c r="AQ150" s="120" t="s">
        <v>550</v>
      </c>
      <c r="AR150" s="120" t="s">
        <v>551</v>
      </c>
      <c r="AS150" s="120" t="s">
        <v>153</v>
      </c>
      <c r="AT150" s="120" t="s">
        <v>153</v>
      </c>
      <c r="AU150" s="120" t="s">
        <v>141</v>
      </c>
      <c r="AV150" s="120" t="s">
        <v>552</v>
      </c>
      <c r="AW150" s="120" t="s">
        <v>92</v>
      </c>
      <c r="AX150" s="120" t="s">
        <v>103</v>
      </c>
      <c r="AY150" s="120">
        <v>0</v>
      </c>
      <c r="AZ150" s="120">
        <v>0</v>
      </c>
      <c r="BA150" s="120" t="s">
        <v>86</v>
      </c>
      <c r="BB150" s="134" t="s">
        <v>839</v>
      </c>
      <c r="BC150" s="120" t="s">
        <v>86</v>
      </c>
    </row>
    <row r="151" spans="1:55" ht="14.25" customHeight="1">
      <c r="A151" t="str">
        <f>IFERROR(VLOOKUP(AV151,Nómina!B:E,4,0),"")</f>
        <v>GENESIS DANIELA PIMENTEL HERRERA</v>
      </c>
      <c r="B151" t="str">
        <f>IFERROR(VLOOKUP(A151,Nómina!E:F,2,0),"")</f>
        <v>26598096-1</v>
      </c>
      <c r="C151" s="30">
        <f t="shared" si="35"/>
        <v>2521</v>
      </c>
      <c r="D151" t="str">
        <f t="shared" si="36"/>
        <v>2026-07-12</v>
      </c>
      <c r="E151" t="str">
        <f t="shared" si="37"/>
        <v>B2C</v>
      </c>
      <c r="F151" t="str">
        <f t="shared" si="38"/>
        <v>Extra</v>
      </c>
      <c r="G151" t="str">
        <f t="shared" si="39"/>
        <v>Individual</v>
      </c>
      <c r="H151" t="str">
        <f t="shared" si="40"/>
        <v>-</v>
      </c>
      <c r="I151" t="str">
        <f t="shared" si="41"/>
        <v>Extra por festivo o fin de semana</v>
      </c>
      <c r="J151" t="str">
        <f t="shared" si="42"/>
        <v>ÑUÑOA</v>
      </c>
      <c r="K151" t="str">
        <f t="shared" si="43"/>
        <v>Ninguno</v>
      </c>
      <c r="L151">
        <f t="shared" si="44"/>
        <v>0</v>
      </c>
      <c r="M151">
        <f t="shared" si="45"/>
        <v>0</v>
      </c>
      <c r="N151" t="str">
        <f t="shared" si="46"/>
        <v/>
      </c>
      <c r="O151" s="10" t="str">
        <f>+VLOOKUP(Z151,listas!$B:$C,2,0)</f>
        <v>B2C</v>
      </c>
      <c r="P151" s="11">
        <f t="shared" si="34"/>
        <v>5000</v>
      </c>
      <c r="Q151" s="11">
        <f t="shared" si="47"/>
        <v>2521</v>
      </c>
      <c r="R151" s="59">
        <f t="shared" si="48"/>
        <v>7</v>
      </c>
      <c r="S151" s="59">
        <f t="shared" si="49"/>
        <v>12</v>
      </c>
      <c r="T151" s="11">
        <f t="shared" si="50"/>
        <v>1</v>
      </c>
      <c r="U151" s="138" t="s">
        <v>80</v>
      </c>
      <c r="V151" s="138" t="s">
        <v>838</v>
      </c>
      <c r="W151" s="138" t="s">
        <v>814</v>
      </c>
      <c r="X151" s="138" t="s">
        <v>814</v>
      </c>
      <c r="Y151" s="138" t="s">
        <v>159</v>
      </c>
      <c r="Z151" s="138" t="s">
        <v>98</v>
      </c>
      <c r="AA151" s="138" t="s">
        <v>99</v>
      </c>
      <c r="AB151" s="138" t="s">
        <v>4</v>
      </c>
      <c r="AC151" s="138" t="s">
        <v>104</v>
      </c>
      <c r="AD151" s="138" t="s">
        <v>83</v>
      </c>
      <c r="AE151" s="138" t="s">
        <v>105</v>
      </c>
      <c r="AF151" s="138" t="s">
        <v>438</v>
      </c>
      <c r="AG151" s="139">
        <v>5000</v>
      </c>
      <c r="AH151" s="139">
        <v>5000</v>
      </c>
      <c r="AI151" s="139">
        <v>0</v>
      </c>
      <c r="AJ151" s="139">
        <v>0</v>
      </c>
      <c r="AK151" s="139">
        <v>5000</v>
      </c>
      <c r="AL151" s="138" t="s">
        <v>86</v>
      </c>
      <c r="AM151" s="138" t="s">
        <v>86</v>
      </c>
      <c r="AN151" s="138" t="s">
        <v>86</v>
      </c>
      <c r="AO151" s="138" t="s">
        <v>86</v>
      </c>
      <c r="AP151" s="138" t="s">
        <v>86</v>
      </c>
      <c r="AQ151" s="138" t="s">
        <v>550</v>
      </c>
      <c r="AR151" s="138" t="s">
        <v>551</v>
      </c>
      <c r="AS151" s="138" t="s">
        <v>153</v>
      </c>
      <c r="AT151" s="138" t="s">
        <v>153</v>
      </c>
      <c r="AU151" s="138" t="s">
        <v>141</v>
      </c>
      <c r="AV151" s="138" t="s">
        <v>552</v>
      </c>
      <c r="AW151" s="138" t="s">
        <v>92</v>
      </c>
      <c r="AX151" s="138" t="s">
        <v>103</v>
      </c>
      <c r="AY151" s="138">
        <v>0</v>
      </c>
      <c r="AZ151" s="138">
        <v>0</v>
      </c>
      <c r="BA151" s="138" t="s">
        <v>86</v>
      </c>
      <c r="BB151" s="140" t="s">
        <v>839</v>
      </c>
      <c r="BC151" s="138" t="s">
        <v>86</v>
      </c>
    </row>
    <row r="152" spans="1:55" ht="14.25" customHeight="1">
      <c r="A152" t="str">
        <f>IFERROR(VLOOKUP(AV152,Nómina!B:E,4,0),"")</f>
        <v>MARIA MAGDALENA CASTRO MORGADO</v>
      </c>
      <c r="B152" t="str">
        <f>IFERROR(VLOOKUP(A152,Nómina!E:F,2,0),"")</f>
        <v>13335240-6</v>
      </c>
      <c r="C152" s="30">
        <f t="shared" si="35"/>
        <v>22689</v>
      </c>
      <c r="D152" t="str">
        <f t="shared" si="36"/>
        <v>2026-07-12</v>
      </c>
      <c r="E152" t="str">
        <f t="shared" si="37"/>
        <v>B2C</v>
      </c>
      <c r="F152" t="str">
        <f t="shared" si="38"/>
        <v>Masaje</v>
      </c>
      <c r="G152" t="str">
        <f t="shared" si="39"/>
        <v>Pareja</v>
      </c>
      <c r="H152" t="str">
        <f t="shared" si="40"/>
        <v>60min</v>
      </c>
      <c r="I152" t="str">
        <f t="shared" si="41"/>
        <v>Tejido profundo</v>
      </c>
      <c r="J152" t="str">
        <f t="shared" si="42"/>
        <v>LAS CONDES</v>
      </c>
      <c r="K152" t="str">
        <f t="shared" si="43"/>
        <v>Ninguno</v>
      </c>
      <c r="L152">
        <f t="shared" si="44"/>
        <v>0</v>
      </c>
      <c r="M152">
        <f t="shared" si="45"/>
        <v>0</v>
      </c>
      <c r="N152" t="str">
        <f t="shared" si="46"/>
        <v/>
      </c>
      <c r="O152" s="10" t="str">
        <f>+VLOOKUP(Z152,listas!$B:$C,2,0)</f>
        <v>B2C</v>
      </c>
      <c r="P152" s="11">
        <f t="shared" si="34"/>
        <v>45000</v>
      </c>
      <c r="Q152" s="11">
        <f t="shared" si="47"/>
        <v>22689</v>
      </c>
      <c r="R152" s="59">
        <f t="shared" si="48"/>
        <v>7</v>
      </c>
      <c r="S152" s="59">
        <f t="shared" si="49"/>
        <v>12</v>
      </c>
      <c r="T152" s="11">
        <f t="shared" si="50"/>
        <v>1</v>
      </c>
      <c r="U152" s="120" t="s">
        <v>80</v>
      </c>
      <c r="V152" s="120" t="s">
        <v>840</v>
      </c>
      <c r="W152" s="120" t="s">
        <v>814</v>
      </c>
      <c r="X152" s="120" t="s">
        <v>814</v>
      </c>
      <c r="Y152" s="120" t="s">
        <v>159</v>
      </c>
      <c r="Z152" s="120" t="s">
        <v>98</v>
      </c>
      <c r="AA152" s="120" t="s">
        <v>99</v>
      </c>
      <c r="AB152" s="120" t="s">
        <v>4</v>
      </c>
      <c r="AC152" s="120" t="s">
        <v>82</v>
      </c>
      <c r="AD152" s="120" t="s">
        <v>119</v>
      </c>
      <c r="AE152" s="120" t="s">
        <v>84</v>
      </c>
      <c r="AF152" s="120" t="s">
        <v>123</v>
      </c>
      <c r="AG152" s="133">
        <v>45000</v>
      </c>
      <c r="AH152" s="133">
        <v>45000</v>
      </c>
      <c r="AI152" s="133">
        <v>0</v>
      </c>
      <c r="AJ152" s="133">
        <v>0</v>
      </c>
      <c r="AK152" s="133">
        <v>27000</v>
      </c>
      <c r="AL152" s="120" t="s">
        <v>86</v>
      </c>
      <c r="AM152" s="120" t="s">
        <v>86</v>
      </c>
      <c r="AN152" s="120" t="s">
        <v>86</v>
      </c>
      <c r="AO152" s="120" t="s">
        <v>86</v>
      </c>
      <c r="AP152" s="120" t="s">
        <v>86</v>
      </c>
      <c r="AQ152" s="120" t="s">
        <v>841</v>
      </c>
      <c r="AR152" s="120" t="s">
        <v>842</v>
      </c>
      <c r="AS152" s="120" t="s">
        <v>89</v>
      </c>
      <c r="AT152" s="120" t="s">
        <v>89</v>
      </c>
      <c r="AU152" s="120" t="s">
        <v>102</v>
      </c>
      <c r="AV152" s="120" t="s">
        <v>17</v>
      </c>
      <c r="AW152" s="120" t="s">
        <v>92</v>
      </c>
      <c r="AX152" s="120" t="s">
        <v>103</v>
      </c>
      <c r="AY152" s="120">
        <v>0</v>
      </c>
      <c r="AZ152" s="120">
        <v>0</v>
      </c>
      <c r="BA152" s="120" t="s">
        <v>86</v>
      </c>
      <c r="BB152" s="134" t="s">
        <v>843</v>
      </c>
      <c r="BC152" s="120" t="s">
        <v>86</v>
      </c>
    </row>
    <row r="153" spans="1:55" ht="14.25" customHeight="1">
      <c r="A153" t="str">
        <f>IFERROR(VLOOKUP(AV153,Nómina!B:E,4,0),"")</f>
        <v>PAMELA VERONICA CID NAVIA  </v>
      </c>
      <c r="B153" t="str">
        <f>IFERROR(VLOOKUP(A153,Nómina!E:F,2,0),"")</f>
        <v>8008360-2</v>
      </c>
      <c r="C153" s="30">
        <f t="shared" si="35"/>
        <v>22689</v>
      </c>
      <c r="D153" t="str">
        <f t="shared" si="36"/>
        <v>2026-07-12</v>
      </c>
      <c r="E153" t="str">
        <f t="shared" si="37"/>
        <v>B2C</v>
      </c>
      <c r="F153" t="str">
        <f t="shared" si="38"/>
        <v>Masaje</v>
      </c>
      <c r="G153" t="str">
        <f t="shared" si="39"/>
        <v>Pareja</v>
      </c>
      <c r="H153" t="str">
        <f t="shared" si="40"/>
        <v>60min</v>
      </c>
      <c r="I153" t="str">
        <f t="shared" si="41"/>
        <v>Relajante</v>
      </c>
      <c r="J153" t="str">
        <f t="shared" si="42"/>
        <v>LAS CONDES</v>
      </c>
      <c r="K153" t="str">
        <f t="shared" si="43"/>
        <v>Ninguno</v>
      </c>
      <c r="L153">
        <f t="shared" si="44"/>
        <v>0</v>
      </c>
      <c r="M153">
        <f t="shared" si="45"/>
        <v>0</v>
      </c>
      <c r="N153" t="str">
        <f t="shared" si="46"/>
        <v/>
      </c>
      <c r="O153" s="10" t="str">
        <f>+VLOOKUP(Z153,listas!$B:$C,2,0)</f>
        <v>B2C</v>
      </c>
      <c r="P153" s="11">
        <f t="shared" si="34"/>
        <v>45000</v>
      </c>
      <c r="Q153" s="11">
        <f t="shared" si="47"/>
        <v>22689</v>
      </c>
      <c r="R153" s="59">
        <f t="shared" si="48"/>
        <v>7</v>
      </c>
      <c r="S153" s="59">
        <f t="shared" si="49"/>
        <v>12</v>
      </c>
      <c r="T153" s="11">
        <f t="shared" si="50"/>
        <v>1</v>
      </c>
      <c r="U153" s="120" t="s">
        <v>80</v>
      </c>
      <c r="V153" s="120" t="s">
        <v>840</v>
      </c>
      <c r="W153" s="120" t="s">
        <v>814</v>
      </c>
      <c r="X153" s="120" t="s">
        <v>814</v>
      </c>
      <c r="Y153" s="120" t="s">
        <v>159</v>
      </c>
      <c r="Z153" s="120" t="s">
        <v>98</v>
      </c>
      <c r="AA153" s="120" t="s">
        <v>99</v>
      </c>
      <c r="AB153" s="120" t="s">
        <v>4</v>
      </c>
      <c r="AC153" s="120" t="s">
        <v>82</v>
      </c>
      <c r="AD153" s="120" t="s">
        <v>119</v>
      </c>
      <c r="AE153" s="120" t="s">
        <v>84</v>
      </c>
      <c r="AF153" s="120" t="s">
        <v>85</v>
      </c>
      <c r="AG153" s="133">
        <v>45000</v>
      </c>
      <c r="AH153" s="133">
        <v>45000</v>
      </c>
      <c r="AI153" s="133">
        <v>0</v>
      </c>
      <c r="AJ153" s="133">
        <v>0</v>
      </c>
      <c r="AK153" s="133">
        <v>27000</v>
      </c>
      <c r="AL153" s="120" t="s">
        <v>86</v>
      </c>
      <c r="AM153" s="120" t="s">
        <v>86</v>
      </c>
      <c r="AN153" s="120" t="s">
        <v>86</v>
      </c>
      <c r="AO153" s="120" t="s">
        <v>86</v>
      </c>
      <c r="AP153" s="120" t="s">
        <v>86</v>
      </c>
      <c r="AQ153" s="120" t="s">
        <v>841</v>
      </c>
      <c r="AR153" s="120" t="s">
        <v>842</v>
      </c>
      <c r="AS153" s="120" t="s">
        <v>89</v>
      </c>
      <c r="AT153" s="120" t="s">
        <v>89</v>
      </c>
      <c r="AU153" s="120" t="s">
        <v>144</v>
      </c>
      <c r="AV153" s="120" t="s">
        <v>19</v>
      </c>
      <c r="AW153" s="120" t="s">
        <v>92</v>
      </c>
      <c r="AX153" s="120" t="s">
        <v>103</v>
      </c>
      <c r="AY153" s="120">
        <v>0</v>
      </c>
      <c r="AZ153" s="120">
        <v>0</v>
      </c>
      <c r="BA153" s="120" t="s">
        <v>86</v>
      </c>
      <c r="BB153" s="134" t="s">
        <v>843</v>
      </c>
      <c r="BC153" s="120" t="s">
        <v>86</v>
      </c>
    </row>
    <row r="154" spans="1:55" ht="14.25" customHeight="1">
      <c r="A154" t="str">
        <f>IFERROR(VLOOKUP(AV154,Nómina!B:E,4,0),"")</f>
        <v>MARIA MAGDALENA CASTRO MORGADO</v>
      </c>
      <c r="B154" t="str">
        <f>IFERROR(VLOOKUP(A154,Nómina!E:F,2,0),"")</f>
        <v>13335240-6</v>
      </c>
      <c r="C154" s="30">
        <f t="shared" si="35"/>
        <v>9076</v>
      </c>
      <c r="D154" t="str">
        <f t="shared" si="36"/>
        <v>2026-07-12</v>
      </c>
      <c r="E154" t="str">
        <f t="shared" si="37"/>
        <v>B2C</v>
      </c>
      <c r="F154" t="str">
        <f t="shared" si="38"/>
        <v>Addon</v>
      </c>
      <c r="G154" t="str">
        <f t="shared" si="39"/>
        <v>Pareja</v>
      </c>
      <c r="H154" t="str">
        <f t="shared" si="40"/>
        <v>30min</v>
      </c>
      <c r="I154" t="str">
        <f t="shared" si="41"/>
        <v>Reflexología</v>
      </c>
      <c r="J154" t="str">
        <f t="shared" si="42"/>
        <v>LAS CONDES</v>
      </c>
      <c r="K154" t="str">
        <f t="shared" si="43"/>
        <v>Ninguno</v>
      </c>
      <c r="L154">
        <f t="shared" si="44"/>
        <v>0</v>
      </c>
      <c r="M154">
        <f t="shared" si="45"/>
        <v>0</v>
      </c>
      <c r="N154" t="str">
        <f t="shared" si="46"/>
        <v/>
      </c>
      <c r="O154" s="10" t="str">
        <f>+VLOOKUP(Z154,listas!$B:$C,2,0)</f>
        <v>B2C</v>
      </c>
      <c r="P154" s="11">
        <f t="shared" si="34"/>
        <v>18000</v>
      </c>
      <c r="Q154" s="11">
        <f t="shared" si="47"/>
        <v>9076</v>
      </c>
      <c r="R154" s="59">
        <f t="shared" si="48"/>
        <v>7</v>
      </c>
      <c r="S154" s="59">
        <f t="shared" si="49"/>
        <v>12</v>
      </c>
      <c r="T154" s="11">
        <f t="shared" si="50"/>
        <v>1</v>
      </c>
      <c r="U154" s="135" t="s">
        <v>80</v>
      </c>
      <c r="V154" s="135" t="s">
        <v>840</v>
      </c>
      <c r="W154" s="135" t="s">
        <v>814</v>
      </c>
      <c r="X154" s="135" t="s">
        <v>814</v>
      </c>
      <c r="Y154" s="135" t="s">
        <v>159</v>
      </c>
      <c r="Z154" s="135" t="s">
        <v>98</v>
      </c>
      <c r="AA154" s="135" t="s">
        <v>99</v>
      </c>
      <c r="AB154" s="135" t="s">
        <v>4</v>
      </c>
      <c r="AC154" s="135" t="s">
        <v>93</v>
      </c>
      <c r="AD154" s="135" t="s">
        <v>119</v>
      </c>
      <c r="AE154" s="135" t="s">
        <v>126</v>
      </c>
      <c r="AF154" s="135" t="s">
        <v>95</v>
      </c>
      <c r="AG154" s="136">
        <v>18000</v>
      </c>
      <c r="AH154" s="136">
        <v>18000</v>
      </c>
      <c r="AI154" s="136">
        <v>0</v>
      </c>
      <c r="AJ154" s="136">
        <v>0</v>
      </c>
      <c r="AK154" s="136">
        <v>10800</v>
      </c>
      <c r="AL154" s="135" t="s">
        <v>86</v>
      </c>
      <c r="AM154" s="135" t="s">
        <v>86</v>
      </c>
      <c r="AN154" s="135" t="s">
        <v>86</v>
      </c>
      <c r="AO154" s="135" t="s">
        <v>86</v>
      </c>
      <c r="AP154" s="135" t="s">
        <v>86</v>
      </c>
      <c r="AQ154" s="135" t="s">
        <v>841</v>
      </c>
      <c r="AR154" s="135" t="s">
        <v>842</v>
      </c>
      <c r="AS154" s="135" t="s">
        <v>89</v>
      </c>
      <c r="AT154" s="135" t="s">
        <v>89</v>
      </c>
      <c r="AU154" s="135" t="s">
        <v>102</v>
      </c>
      <c r="AV154" s="135" t="s">
        <v>17</v>
      </c>
      <c r="AW154" s="135" t="s">
        <v>92</v>
      </c>
      <c r="AX154" s="135" t="s">
        <v>103</v>
      </c>
      <c r="AY154" s="135">
        <v>0</v>
      </c>
      <c r="AZ154" s="135">
        <v>0</v>
      </c>
      <c r="BA154" s="135" t="s">
        <v>86</v>
      </c>
      <c r="BB154" s="137" t="s">
        <v>843</v>
      </c>
      <c r="BC154" s="135" t="s">
        <v>86</v>
      </c>
    </row>
    <row r="155" spans="1:55" ht="14.25" customHeight="1">
      <c r="A155" t="str">
        <f>IFERROR(VLOOKUP(AV155,Nómina!B:E,4,0),"")</f>
        <v>PAMELA VERONICA CID NAVIA  </v>
      </c>
      <c r="B155" t="str">
        <f>IFERROR(VLOOKUP(A155,Nómina!E:F,2,0),"")</f>
        <v>8008360-2</v>
      </c>
      <c r="C155" s="30">
        <f t="shared" si="35"/>
        <v>9076</v>
      </c>
      <c r="D155" t="str">
        <f t="shared" si="36"/>
        <v>2026-07-12</v>
      </c>
      <c r="E155" t="str">
        <f t="shared" si="37"/>
        <v>B2C</v>
      </c>
      <c r="F155" t="str">
        <f t="shared" si="38"/>
        <v>Addon</v>
      </c>
      <c r="G155" t="str">
        <f t="shared" si="39"/>
        <v>Pareja</v>
      </c>
      <c r="H155" t="str">
        <f t="shared" si="40"/>
        <v>30min</v>
      </c>
      <c r="I155" t="str">
        <f t="shared" si="41"/>
        <v>Craneofacial</v>
      </c>
      <c r="J155" t="str">
        <f t="shared" si="42"/>
        <v>LAS CONDES</v>
      </c>
      <c r="K155" t="str">
        <f t="shared" si="43"/>
        <v>Ninguno</v>
      </c>
      <c r="L155">
        <f t="shared" si="44"/>
        <v>0</v>
      </c>
      <c r="M155">
        <f t="shared" si="45"/>
        <v>0</v>
      </c>
      <c r="N155" t="str">
        <f t="shared" si="46"/>
        <v/>
      </c>
      <c r="O155" s="10" t="str">
        <f>+VLOOKUP(Z155,listas!$B:$C,2,0)</f>
        <v>B2C</v>
      </c>
      <c r="P155" s="11">
        <f t="shared" si="34"/>
        <v>18000</v>
      </c>
      <c r="Q155" s="11">
        <f t="shared" si="47"/>
        <v>9076</v>
      </c>
      <c r="R155" s="59">
        <f t="shared" si="48"/>
        <v>7</v>
      </c>
      <c r="S155" s="59">
        <f t="shared" si="49"/>
        <v>12</v>
      </c>
      <c r="T155" s="11">
        <f t="shared" si="50"/>
        <v>1</v>
      </c>
      <c r="U155" s="135" t="s">
        <v>80</v>
      </c>
      <c r="V155" s="135" t="s">
        <v>840</v>
      </c>
      <c r="W155" s="135" t="s">
        <v>814</v>
      </c>
      <c r="X155" s="135" t="s">
        <v>814</v>
      </c>
      <c r="Y155" s="135" t="s">
        <v>159</v>
      </c>
      <c r="Z155" s="135" t="s">
        <v>98</v>
      </c>
      <c r="AA155" s="135" t="s">
        <v>99</v>
      </c>
      <c r="AB155" s="135" t="s">
        <v>4</v>
      </c>
      <c r="AC155" s="135" t="s">
        <v>93</v>
      </c>
      <c r="AD155" s="135" t="s">
        <v>119</v>
      </c>
      <c r="AE155" s="135" t="s">
        <v>126</v>
      </c>
      <c r="AF155" s="135" t="s">
        <v>96</v>
      </c>
      <c r="AG155" s="136">
        <v>18000</v>
      </c>
      <c r="AH155" s="136">
        <v>18000</v>
      </c>
      <c r="AI155" s="136">
        <v>0</v>
      </c>
      <c r="AJ155" s="136">
        <v>0</v>
      </c>
      <c r="AK155" s="136">
        <v>10800</v>
      </c>
      <c r="AL155" s="135" t="s">
        <v>86</v>
      </c>
      <c r="AM155" s="135" t="s">
        <v>86</v>
      </c>
      <c r="AN155" s="135" t="s">
        <v>86</v>
      </c>
      <c r="AO155" s="135" t="s">
        <v>86</v>
      </c>
      <c r="AP155" s="135" t="s">
        <v>86</v>
      </c>
      <c r="AQ155" s="135" t="s">
        <v>841</v>
      </c>
      <c r="AR155" s="135" t="s">
        <v>842</v>
      </c>
      <c r="AS155" s="135" t="s">
        <v>89</v>
      </c>
      <c r="AT155" s="135" t="s">
        <v>89</v>
      </c>
      <c r="AU155" s="135" t="s">
        <v>144</v>
      </c>
      <c r="AV155" s="135" t="s">
        <v>19</v>
      </c>
      <c r="AW155" s="135" t="s">
        <v>92</v>
      </c>
      <c r="AX155" s="135" t="s">
        <v>103</v>
      </c>
      <c r="AY155" s="135">
        <v>0</v>
      </c>
      <c r="AZ155" s="135">
        <v>0</v>
      </c>
      <c r="BA155" s="135" t="s">
        <v>86</v>
      </c>
      <c r="BB155" s="137" t="s">
        <v>843</v>
      </c>
      <c r="BC155" s="135" t="s">
        <v>86</v>
      </c>
    </row>
    <row r="156" spans="1:55" ht="14.25" customHeight="1">
      <c r="A156" t="str">
        <f>IFERROR(VLOOKUP(AV156,Nómina!B:E,4,0),"")</f>
        <v>MARIA MAGDALENA CASTRO MORGADO</v>
      </c>
      <c r="B156" t="str">
        <f>IFERROR(VLOOKUP(A156,Nómina!E:F,2,0),"")</f>
        <v>13335240-6</v>
      </c>
      <c r="C156" s="30">
        <f t="shared" si="35"/>
        <v>2521</v>
      </c>
      <c r="D156" t="str">
        <f t="shared" si="36"/>
        <v>2026-07-12</v>
      </c>
      <c r="E156" t="str">
        <f t="shared" si="37"/>
        <v>B2C</v>
      </c>
      <c r="F156" t="str">
        <f t="shared" si="38"/>
        <v>Extra</v>
      </c>
      <c r="G156" t="str">
        <f t="shared" si="39"/>
        <v>Pareja</v>
      </c>
      <c r="H156" t="str">
        <f t="shared" si="40"/>
        <v>-</v>
      </c>
      <c r="I156" t="str">
        <f t="shared" si="41"/>
        <v>Extra por festivo o fin de semana</v>
      </c>
      <c r="J156" t="str">
        <f t="shared" si="42"/>
        <v>LAS CONDES</v>
      </c>
      <c r="K156" t="str">
        <f t="shared" si="43"/>
        <v>Ninguno</v>
      </c>
      <c r="L156">
        <f t="shared" si="44"/>
        <v>0</v>
      </c>
      <c r="M156">
        <f t="shared" si="45"/>
        <v>0</v>
      </c>
      <c r="N156" t="str">
        <f t="shared" si="46"/>
        <v/>
      </c>
      <c r="O156" s="10" t="str">
        <f>+VLOOKUP(Z156,listas!$B:$C,2,0)</f>
        <v>B2C</v>
      </c>
      <c r="P156" s="11">
        <f t="shared" si="34"/>
        <v>5000</v>
      </c>
      <c r="Q156" s="11">
        <f t="shared" si="47"/>
        <v>2521</v>
      </c>
      <c r="R156" s="59">
        <f t="shared" si="48"/>
        <v>7</v>
      </c>
      <c r="S156" s="59">
        <f t="shared" si="49"/>
        <v>12</v>
      </c>
      <c r="T156" s="11">
        <f t="shared" si="50"/>
        <v>1</v>
      </c>
      <c r="U156" s="138" t="s">
        <v>80</v>
      </c>
      <c r="V156" s="138" t="s">
        <v>840</v>
      </c>
      <c r="W156" s="138" t="s">
        <v>814</v>
      </c>
      <c r="X156" s="138" t="s">
        <v>814</v>
      </c>
      <c r="Y156" s="138" t="s">
        <v>159</v>
      </c>
      <c r="Z156" s="138" t="s">
        <v>98</v>
      </c>
      <c r="AA156" s="138" t="s">
        <v>99</v>
      </c>
      <c r="AB156" s="138" t="s">
        <v>4</v>
      </c>
      <c r="AC156" s="138" t="s">
        <v>104</v>
      </c>
      <c r="AD156" s="138" t="s">
        <v>119</v>
      </c>
      <c r="AE156" s="138" t="s">
        <v>105</v>
      </c>
      <c r="AF156" s="138" t="s">
        <v>438</v>
      </c>
      <c r="AG156" s="139">
        <v>5000</v>
      </c>
      <c r="AH156" s="139">
        <v>5000</v>
      </c>
      <c r="AI156" s="139">
        <v>0</v>
      </c>
      <c r="AJ156" s="139">
        <v>0</v>
      </c>
      <c r="AK156" s="139">
        <v>5000</v>
      </c>
      <c r="AL156" s="138" t="s">
        <v>86</v>
      </c>
      <c r="AM156" s="138" t="s">
        <v>86</v>
      </c>
      <c r="AN156" s="138" t="s">
        <v>86</v>
      </c>
      <c r="AO156" s="138" t="s">
        <v>86</v>
      </c>
      <c r="AP156" s="138" t="s">
        <v>86</v>
      </c>
      <c r="AQ156" s="138" t="s">
        <v>841</v>
      </c>
      <c r="AR156" s="138" t="s">
        <v>842</v>
      </c>
      <c r="AS156" s="138" t="s">
        <v>89</v>
      </c>
      <c r="AT156" s="138" t="s">
        <v>89</v>
      </c>
      <c r="AU156" s="138" t="s">
        <v>102</v>
      </c>
      <c r="AV156" s="138" t="s">
        <v>17</v>
      </c>
      <c r="AW156" s="138" t="s">
        <v>92</v>
      </c>
      <c r="AX156" s="138" t="s">
        <v>103</v>
      </c>
      <c r="AY156" s="138">
        <v>0</v>
      </c>
      <c r="AZ156" s="138">
        <v>0</v>
      </c>
      <c r="BA156" s="138" t="s">
        <v>86</v>
      </c>
      <c r="BB156" s="140" t="s">
        <v>843</v>
      </c>
      <c r="BC156" s="138" t="s">
        <v>86</v>
      </c>
    </row>
    <row r="157" spans="1:55" ht="14.25" customHeight="1">
      <c r="A157" t="str">
        <f>IFERROR(VLOOKUP(AV157,Nómina!B:E,4,0),"")</f>
        <v>PAMELA VERONICA CID NAVIA  </v>
      </c>
      <c r="B157" t="str">
        <f>IFERROR(VLOOKUP(A157,Nómina!E:F,2,0),"")</f>
        <v>8008360-2</v>
      </c>
      <c r="C157" s="30">
        <f t="shared" si="35"/>
        <v>2521</v>
      </c>
      <c r="D157" t="str">
        <f t="shared" si="36"/>
        <v>2026-07-12</v>
      </c>
      <c r="E157" t="str">
        <f t="shared" si="37"/>
        <v>B2C</v>
      </c>
      <c r="F157" t="str">
        <f t="shared" si="38"/>
        <v>Extra</v>
      </c>
      <c r="G157" t="str">
        <f t="shared" si="39"/>
        <v>Pareja</v>
      </c>
      <c r="H157" t="str">
        <f t="shared" si="40"/>
        <v>-</v>
      </c>
      <c r="I157" t="str">
        <f t="shared" si="41"/>
        <v>Extra por festivo o fin de semana</v>
      </c>
      <c r="J157" t="str">
        <f t="shared" si="42"/>
        <v>LAS CONDES</v>
      </c>
      <c r="K157" t="str">
        <f t="shared" si="43"/>
        <v>Ninguno</v>
      </c>
      <c r="L157">
        <f t="shared" si="44"/>
        <v>0</v>
      </c>
      <c r="M157">
        <f t="shared" si="45"/>
        <v>0</v>
      </c>
      <c r="N157" t="str">
        <f t="shared" si="46"/>
        <v/>
      </c>
      <c r="O157" s="10" t="str">
        <f>+VLOOKUP(Z157,listas!$B:$C,2,0)</f>
        <v>B2C</v>
      </c>
      <c r="P157" s="11">
        <f t="shared" si="34"/>
        <v>5000</v>
      </c>
      <c r="Q157" s="11">
        <f t="shared" si="47"/>
        <v>2521</v>
      </c>
      <c r="R157" s="59">
        <f t="shared" si="48"/>
        <v>7</v>
      </c>
      <c r="S157" s="59">
        <f t="shared" si="49"/>
        <v>12</v>
      </c>
      <c r="T157" s="11">
        <f t="shared" si="50"/>
        <v>1</v>
      </c>
      <c r="U157" s="138" t="s">
        <v>80</v>
      </c>
      <c r="V157" s="138" t="s">
        <v>840</v>
      </c>
      <c r="W157" s="138" t="s">
        <v>814</v>
      </c>
      <c r="X157" s="138" t="s">
        <v>814</v>
      </c>
      <c r="Y157" s="138" t="s">
        <v>159</v>
      </c>
      <c r="Z157" s="138" t="s">
        <v>98</v>
      </c>
      <c r="AA157" s="138" t="s">
        <v>99</v>
      </c>
      <c r="AB157" s="138" t="s">
        <v>4</v>
      </c>
      <c r="AC157" s="138" t="s">
        <v>104</v>
      </c>
      <c r="AD157" s="138" t="s">
        <v>119</v>
      </c>
      <c r="AE157" s="138" t="s">
        <v>105</v>
      </c>
      <c r="AF157" s="138" t="s">
        <v>438</v>
      </c>
      <c r="AG157" s="139">
        <v>5000</v>
      </c>
      <c r="AH157" s="139">
        <v>5000</v>
      </c>
      <c r="AI157" s="139">
        <v>0</v>
      </c>
      <c r="AJ157" s="139">
        <v>0</v>
      </c>
      <c r="AK157" s="139">
        <v>5000</v>
      </c>
      <c r="AL157" s="138" t="s">
        <v>86</v>
      </c>
      <c r="AM157" s="138" t="s">
        <v>86</v>
      </c>
      <c r="AN157" s="138" t="s">
        <v>86</v>
      </c>
      <c r="AO157" s="138" t="s">
        <v>86</v>
      </c>
      <c r="AP157" s="138" t="s">
        <v>86</v>
      </c>
      <c r="AQ157" s="138" t="s">
        <v>841</v>
      </c>
      <c r="AR157" s="138" t="s">
        <v>842</v>
      </c>
      <c r="AS157" s="138" t="s">
        <v>89</v>
      </c>
      <c r="AT157" s="138" t="s">
        <v>89</v>
      </c>
      <c r="AU157" s="138" t="s">
        <v>144</v>
      </c>
      <c r="AV157" s="138" t="s">
        <v>19</v>
      </c>
      <c r="AW157" s="138" t="s">
        <v>92</v>
      </c>
      <c r="AX157" s="138" t="s">
        <v>103</v>
      </c>
      <c r="AY157" s="138">
        <v>0</v>
      </c>
      <c r="AZ157" s="138">
        <v>0</v>
      </c>
      <c r="BA157" s="138" t="s">
        <v>86</v>
      </c>
      <c r="BB157" s="140" t="s">
        <v>843</v>
      </c>
      <c r="BC157" s="138" t="s">
        <v>86</v>
      </c>
    </row>
    <row r="158" spans="1:55" ht="14.25" customHeight="1">
      <c r="A158" t="str">
        <f>IFERROR(VLOOKUP(AV158,Nómina!B:E,4,0),"")</f>
        <v>MACARENA SOFIA GONZALEZ BORQUEZ</v>
      </c>
      <c r="B158" t="str">
        <f>IFERROR(VLOOKUP(A158,Nómina!E:F,2,0),"")</f>
        <v>17325262-5</v>
      </c>
      <c r="C158" s="30">
        <f t="shared" si="35"/>
        <v>22689</v>
      </c>
      <c r="D158" t="str">
        <f t="shared" si="36"/>
        <v>2026-07-12</v>
      </c>
      <c r="E158" t="str">
        <f t="shared" si="37"/>
        <v>MARKETING</v>
      </c>
      <c r="F158" t="str">
        <f t="shared" si="38"/>
        <v>Masaje</v>
      </c>
      <c r="G158" t="str">
        <f t="shared" si="39"/>
        <v>Individual</v>
      </c>
      <c r="H158" t="str">
        <f t="shared" si="40"/>
        <v>60min</v>
      </c>
      <c r="I158" t="str">
        <f t="shared" si="41"/>
        <v>Relajante</v>
      </c>
      <c r="J158" t="str">
        <f t="shared" si="42"/>
        <v>LAS CONDES</v>
      </c>
      <c r="K158" t="str">
        <f t="shared" si="43"/>
        <v>Ninguno</v>
      </c>
      <c r="L158">
        <f t="shared" si="44"/>
        <v>0</v>
      </c>
      <c r="M158">
        <f t="shared" si="45"/>
        <v>0</v>
      </c>
      <c r="N158" t="str">
        <f t="shared" si="46"/>
        <v/>
      </c>
      <c r="O158" s="10" t="str">
        <f>+VLOOKUP(Z158,listas!$B:$C,2,0)</f>
        <v>MARKETING</v>
      </c>
      <c r="P158" s="11">
        <f t="shared" si="34"/>
        <v>45000</v>
      </c>
      <c r="Q158" s="11">
        <f t="shared" si="47"/>
        <v>22689</v>
      </c>
      <c r="R158" s="59">
        <f t="shared" si="48"/>
        <v>7</v>
      </c>
      <c r="S158" s="59">
        <f t="shared" si="49"/>
        <v>12</v>
      </c>
      <c r="T158" s="11">
        <f t="shared" si="50"/>
        <v>1</v>
      </c>
      <c r="U158" s="120" t="s">
        <v>80</v>
      </c>
      <c r="V158" s="120" t="s">
        <v>844</v>
      </c>
      <c r="W158" s="120" t="s">
        <v>705</v>
      </c>
      <c r="X158" s="120" t="s">
        <v>814</v>
      </c>
      <c r="Y158" s="120" t="s">
        <v>130</v>
      </c>
      <c r="Z158" s="120" t="s">
        <v>6</v>
      </c>
      <c r="AA158" s="120" t="s">
        <v>81</v>
      </c>
      <c r="AB158" s="120" t="s">
        <v>6</v>
      </c>
      <c r="AC158" s="120" t="s">
        <v>82</v>
      </c>
      <c r="AD158" s="120" t="s">
        <v>83</v>
      </c>
      <c r="AE158" s="120" t="s">
        <v>84</v>
      </c>
      <c r="AF158" s="120" t="s">
        <v>85</v>
      </c>
      <c r="AG158" s="133">
        <v>45000</v>
      </c>
      <c r="AH158" s="133">
        <v>0</v>
      </c>
      <c r="AI158" s="133">
        <v>0</v>
      </c>
      <c r="AJ158" s="133">
        <v>0</v>
      </c>
      <c r="AK158" s="133">
        <v>27000</v>
      </c>
      <c r="AL158" s="120" t="s">
        <v>86</v>
      </c>
      <c r="AM158" s="120" t="s">
        <v>86</v>
      </c>
      <c r="AN158" s="120" t="s">
        <v>86</v>
      </c>
      <c r="AO158" s="120" t="s">
        <v>86</v>
      </c>
      <c r="AP158" s="120" t="s">
        <v>86</v>
      </c>
      <c r="AQ158" s="120" t="s">
        <v>500</v>
      </c>
      <c r="AR158" s="120" t="s">
        <v>524</v>
      </c>
      <c r="AS158" s="120" t="s">
        <v>89</v>
      </c>
      <c r="AT158" s="120" t="s">
        <v>89</v>
      </c>
      <c r="AU158" s="120" t="s">
        <v>133</v>
      </c>
      <c r="AV158" s="120" t="s">
        <v>607</v>
      </c>
      <c r="AW158" s="120" t="s">
        <v>92</v>
      </c>
      <c r="AX158" s="120" t="s">
        <v>103</v>
      </c>
      <c r="AY158" s="120">
        <v>0</v>
      </c>
      <c r="AZ158" s="120">
        <v>0</v>
      </c>
      <c r="BA158" s="120" t="s">
        <v>86</v>
      </c>
      <c r="BB158" s="134" t="s">
        <v>845</v>
      </c>
      <c r="BC158" s="120" t="s">
        <v>86</v>
      </c>
    </row>
    <row r="159" spans="1:55" ht="14.25" customHeight="1">
      <c r="A159" t="str">
        <f>IFERROR(VLOOKUP(AV159,Nómina!B:E,4,0),"")</f>
        <v>DANIELA ANTONIA ALARCON ELIZALDE</v>
      </c>
      <c r="B159" t="str">
        <f>IFERROR(VLOOKUP(A159,Nómina!E:F,2,0),"")</f>
        <v>15893769-7</v>
      </c>
      <c r="C159" s="30">
        <f t="shared" si="35"/>
        <v>22689</v>
      </c>
      <c r="D159" t="str">
        <f t="shared" si="36"/>
        <v>2026-07-12</v>
      </c>
      <c r="E159" t="str">
        <f t="shared" si="37"/>
        <v>B2C</v>
      </c>
      <c r="F159" t="str">
        <f t="shared" si="38"/>
        <v>Masaje</v>
      </c>
      <c r="G159" t="str">
        <f t="shared" si="39"/>
        <v>Individual</v>
      </c>
      <c r="H159" t="str">
        <f t="shared" si="40"/>
        <v>60min</v>
      </c>
      <c r="I159" t="str">
        <f t="shared" si="41"/>
        <v>Tejido profundo</v>
      </c>
      <c r="J159" t="str">
        <f t="shared" si="42"/>
        <v>LAS CONDES</v>
      </c>
      <c r="K159" t="str">
        <f t="shared" si="43"/>
        <v>Ninguno</v>
      </c>
      <c r="L159">
        <f t="shared" si="44"/>
        <v>0</v>
      </c>
      <c r="M159">
        <f t="shared" si="45"/>
        <v>0</v>
      </c>
      <c r="N159" t="str">
        <f t="shared" si="46"/>
        <v/>
      </c>
      <c r="O159" s="10" t="str">
        <f>+VLOOKUP(Z159,listas!$B:$C,2,0)</f>
        <v>B2C</v>
      </c>
      <c r="P159" s="11">
        <f t="shared" si="34"/>
        <v>45000</v>
      </c>
      <c r="Q159" s="11">
        <f t="shared" si="47"/>
        <v>22689</v>
      </c>
      <c r="R159" s="59">
        <f t="shared" si="48"/>
        <v>7</v>
      </c>
      <c r="S159" s="59">
        <f t="shared" si="49"/>
        <v>12</v>
      </c>
      <c r="T159" s="11">
        <f t="shared" si="50"/>
        <v>1</v>
      </c>
      <c r="U159" s="120" t="s">
        <v>80</v>
      </c>
      <c r="V159" s="120" t="s">
        <v>846</v>
      </c>
      <c r="W159" s="120" t="s">
        <v>814</v>
      </c>
      <c r="X159" s="120" t="s">
        <v>814</v>
      </c>
      <c r="Y159" s="120" t="s">
        <v>111</v>
      </c>
      <c r="Z159" s="120" t="s">
        <v>98</v>
      </c>
      <c r="AA159" s="120" t="s">
        <v>131</v>
      </c>
      <c r="AB159" s="120" t="s">
        <v>4</v>
      </c>
      <c r="AC159" s="120" t="s">
        <v>82</v>
      </c>
      <c r="AD159" s="120" t="s">
        <v>83</v>
      </c>
      <c r="AE159" s="120" t="s">
        <v>84</v>
      </c>
      <c r="AF159" s="120" t="s">
        <v>123</v>
      </c>
      <c r="AG159" s="133">
        <v>45000</v>
      </c>
      <c r="AH159" s="133">
        <v>45000</v>
      </c>
      <c r="AI159" s="133">
        <v>0</v>
      </c>
      <c r="AJ159" s="133">
        <v>0</v>
      </c>
      <c r="AK159" s="133">
        <v>27000</v>
      </c>
      <c r="AL159" s="120" t="s">
        <v>86</v>
      </c>
      <c r="AM159" s="120" t="s">
        <v>86</v>
      </c>
      <c r="AN159" s="120" t="s">
        <v>86</v>
      </c>
      <c r="AO159" s="120" t="s">
        <v>86</v>
      </c>
      <c r="AP159" s="120" t="s">
        <v>86</v>
      </c>
      <c r="AQ159" s="120" t="s">
        <v>847</v>
      </c>
      <c r="AR159" s="120" t="s">
        <v>848</v>
      </c>
      <c r="AS159" s="120" t="s">
        <v>89</v>
      </c>
      <c r="AT159" s="120" t="s">
        <v>89</v>
      </c>
      <c r="AU159" s="120" t="s">
        <v>168</v>
      </c>
      <c r="AV159" s="120" t="s">
        <v>510</v>
      </c>
      <c r="AW159" s="120" t="s">
        <v>92</v>
      </c>
      <c r="AX159" s="120" t="s">
        <v>103</v>
      </c>
      <c r="AY159" s="120">
        <v>0</v>
      </c>
      <c r="AZ159" s="120">
        <v>0</v>
      </c>
      <c r="BA159" s="120" t="s">
        <v>86</v>
      </c>
      <c r="BB159" s="134" t="s">
        <v>849</v>
      </c>
      <c r="BC159" s="120" t="s">
        <v>86</v>
      </c>
    </row>
    <row r="160" spans="1:55" ht="14.25" customHeight="1">
      <c r="A160" t="str">
        <f>IFERROR(VLOOKUP(AV160,Nómina!B:E,4,0),"")</f>
        <v>DANIELA ANTONIA ALARCON ELIZALDE</v>
      </c>
      <c r="B160" t="str">
        <f>IFERROR(VLOOKUP(A160,Nómina!E:F,2,0),"")</f>
        <v>15893769-7</v>
      </c>
      <c r="C160" s="30">
        <f t="shared" si="35"/>
        <v>2521</v>
      </c>
      <c r="D160" t="str">
        <f t="shared" si="36"/>
        <v>2026-07-12</v>
      </c>
      <c r="E160" t="str">
        <f t="shared" si="37"/>
        <v>B2C</v>
      </c>
      <c r="F160" t="str">
        <f t="shared" si="38"/>
        <v>Extra</v>
      </c>
      <c r="G160" t="str">
        <f t="shared" si="39"/>
        <v>Individual</v>
      </c>
      <c r="H160" t="str">
        <f t="shared" si="40"/>
        <v>-</v>
      </c>
      <c r="I160" t="str">
        <f t="shared" si="41"/>
        <v>Extra por festivo o fin de semana</v>
      </c>
      <c r="J160" t="str">
        <f t="shared" si="42"/>
        <v>LAS CONDES</v>
      </c>
      <c r="K160" t="str">
        <f t="shared" si="43"/>
        <v>Ninguno</v>
      </c>
      <c r="L160">
        <f t="shared" si="44"/>
        <v>0</v>
      </c>
      <c r="M160">
        <f t="shared" si="45"/>
        <v>0</v>
      </c>
      <c r="N160" t="str">
        <f t="shared" si="46"/>
        <v/>
      </c>
      <c r="O160" s="10" t="str">
        <f>+VLOOKUP(Z160,listas!$B:$C,2,0)</f>
        <v>B2C</v>
      </c>
      <c r="P160" s="11">
        <f t="shared" si="34"/>
        <v>5000</v>
      </c>
      <c r="Q160" s="11">
        <f t="shared" si="47"/>
        <v>2521</v>
      </c>
      <c r="R160" s="59">
        <f t="shared" si="48"/>
        <v>7</v>
      </c>
      <c r="S160" s="59">
        <f t="shared" si="49"/>
        <v>12</v>
      </c>
      <c r="T160" s="11">
        <f t="shared" si="50"/>
        <v>1</v>
      </c>
      <c r="U160" s="138" t="s">
        <v>80</v>
      </c>
      <c r="V160" s="138" t="s">
        <v>846</v>
      </c>
      <c r="W160" s="138" t="s">
        <v>814</v>
      </c>
      <c r="X160" s="138" t="s">
        <v>814</v>
      </c>
      <c r="Y160" s="138" t="s">
        <v>111</v>
      </c>
      <c r="Z160" s="138" t="s">
        <v>98</v>
      </c>
      <c r="AA160" s="138" t="s">
        <v>131</v>
      </c>
      <c r="AB160" s="138" t="s">
        <v>4</v>
      </c>
      <c r="AC160" s="138" t="s">
        <v>104</v>
      </c>
      <c r="AD160" s="138" t="s">
        <v>83</v>
      </c>
      <c r="AE160" s="138" t="s">
        <v>105</v>
      </c>
      <c r="AF160" s="138" t="s">
        <v>438</v>
      </c>
      <c r="AG160" s="139">
        <v>5000</v>
      </c>
      <c r="AH160" s="139">
        <v>5000</v>
      </c>
      <c r="AI160" s="139">
        <v>0</v>
      </c>
      <c r="AJ160" s="139">
        <v>0</v>
      </c>
      <c r="AK160" s="139">
        <v>5000</v>
      </c>
      <c r="AL160" s="138" t="s">
        <v>86</v>
      </c>
      <c r="AM160" s="138" t="s">
        <v>86</v>
      </c>
      <c r="AN160" s="138" t="s">
        <v>86</v>
      </c>
      <c r="AO160" s="138" t="s">
        <v>86</v>
      </c>
      <c r="AP160" s="138" t="s">
        <v>86</v>
      </c>
      <c r="AQ160" s="138" t="s">
        <v>847</v>
      </c>
      <c r="AR160" s="138" t="s">
        <v>848</v>
      </c>
      <c r="AS160" s="138" t="s">
        <v>89</v>
      </c>
      <c r="AT160" s="138" t="s">
        <v>89</v>
      </c>
      <c r="AU160" s="138" t="s">
        <v>168</v>
      </c>
      <c r="AV160" s="138" t="s">
        <v>510</v>
      </c>
      <c r="AW160" s="138" t="s">
        <v>92</v>
      </c>
      <c r="AX160" s="138" t="s">
        <v>103</v>
      </c>
      <c r="AY160" s="138">
        <v>0</v>
      </c>
      <c r="AZ160" s="138">
        <v>0</v>
      </c>
      <c r="BA160" s="138" t="s">
        <v>86</v>
      </c>
      <c r="BB160" s="140" t="s">
        <v>849</v>
      </c>
      <c r="BC160" s="138" t="s">
        <v>86</v>
      </c>
    </row>
    <row r="161" spans="1:55" ht="14.25" customHeight="1">
      <c r="A161" t="str">
        <f>IFERROR(VLOOKUP(AV161,Nómina!B:E,4,0),"")</f>
        <v>MARIA ELIANA BENAVIDES HIGUERA </v>
      </c>
      <c r="B161" t="str">
        <f>IFERROR(VLOOKUP(A161,Nómina!E:F,2,0),"")</f>
        <v>15168787-3</v>
      </c>
      <c r="C161" s="30">
        <f t="shared" si="35"/>
        <v>22689</v>
      </c>
      <c r="D161" t="str">
        <f t="shared" si="36"/>
        <v>2026-07-12</v>
      </c>
      <c r="E161" t="str">
        <f t="shared" si="37"/>
        <v>B2C</v>
      </c>
      <c r="F161" t="str">
        <f t="shared" si="38"/>
        <v>Masaje</v>
      </c>
      <c r="G161" t="str">
        <f t="shared" si="39"/>
        <v>Pareja</v>
      </c>
      <c r="H161" t="str">
        <f t="shared" si="40"/>
        <v>60min</v>
      </c>
      <c r="I161" t="str">
        <f t="shared" si="41"/>
        <v>Tejido profundo</v>
      </c>
      <c r="J161" t="str">
        <f t="shared" si="42"/>
        <v>VITACURA</v>
      </c>
      <c r="K161" t="str">
        <f t="shared" si="43"/>
        <v>Ninguno</v>
      </c>
      <c r="L161">
        <f t="shared" si="44"/>
        <v>0</v>
      </c>
      <c r="M161">
        <f t="shared" si="45"/>
        <v>0</v>
      </c>
      <c r="N161" t="str">
        <f t="shared" si="46"/>
        <v/>
      </c>
      <c r="O161" s="10" t="str">
        <f>+VLOOKUP(Z161,listas!$B:$C,2,0)</f>
        <v>B2C</v>
      </c>
      <c r="P161" s="11">
        <f t="shared" si="34"/>
        <v>45000</v>
      </c>
      <c r="Q161" s="11">
        <f t="shared" si="47"/>
        <v>22689</v>
      </c>
      <c r="R161" s="59">
        <f t="shared" si="48"/>
        <v>7</v>
      </c>
      <c r="S161" s="59">
        <f t="shared" si="49"/>
        <v>12</v>
      </c>
      <c r="T161" s="11">
        <f t="shared" si="50"/>
        <v>1</v>
      </c>
      <c r="U161" s="120" t="s">
        <v>80</v>
      </c>
      <c r="V161" s="120" t="s">
        <v>850</v>
      </c>
      <c r="W161" s="120" t="s">
        <v>814</v>
      </c>
      <c r="X161" s="120" t="s">
        <v>814</v>
      </c>
      <c r="Y161" s="120" t="s">
        <v>114</v>
      </c>
      <c r="Z161" s="120" t="s">
        <v>98</v>
      </c>
      <c r="AA161" s="120" t="s">
        <v>99</v>
      </c>
      <c r="AB161" s="120" t="s">
        <v>4</v>
      </c>
      <c r="AC161" s="120" t="s">
        <v>82</v>
      </c>
      <c r="AD161" s="120" t="s">
        <v>119</v>
      </c>
      <c r="AE161" s="120" t="s">
        <v>84</v>
      </c>
      <c r="AF161" s="120" t="s">
        <v>123</v>
      </c>
      <c r="AG161" s="133">
        <v>45000</v>
      </c>
      <c r="AH161" s="133">
        <v>45000</v>
      </c>
      <c r="AI161" s="133">
        <v>0</v>
      </c>
      <c r="AJ161" s="133">
        <v>0</v>
      </c>
      <c r="AK161" s="133">
        <v>27000</v>
      </c>
      <c r="AL161" s="120" t="s">
        <v>86</v>
      </c>
      <c r="AM161" s="120" t="s">
        <v>86</v>
      </c>
      <c r="AN161" s="120" t="s">
        <v>86</v>
      </c>
      <c r="AO161" s="120" t="s">
        <v>86</v>
      </c>
      <c r="AP161" s="120" t="s">
        <v>86</v>
      </c>
      <c r="AQ161" s="120" t="s">
        <v>851</v>
      </c>
      <c r="AR161" s="120" t="s">
        <v>852</v>
      </c>
      <c r="AS161" s="120" t="s">
        <v>115</v>
      </c>
      <c r="AT161" s="120" t="s">
        <v>115</v>
      </c>
      <c r="AU161" s="120" t="s">
        <v>147</v>
      </c>
      <c r="AV161" s="120" t="s">
        <v>13</v>
      </c>
      <c r="AW161" s="120" t="s">
        <v>92</v>
      </c>
      <c r="AX161" s="120" t="s">
        <v>103</v>
      </c>
      <c r="AY161" s="120">
        <v>0</v>
      </c>
      <c r="AZ161" s="120">
        <v>0</v>
      </c>
      <c r="BA161" s="120" t="s">
        <v>86</v>
      </c>
      <c r="BB161" s="134" t="s">
        <v>853</v>
      </c>
      <c r="BC161" s="120" t="s">
        <v>86</v>
      </c>
    </row>
    <row r="162" spans="1:55" ht="14.25" customHeight="1">
      <c r="A162" t="str">
        <f>IFERROR(VLOOKUP(AV162,Nómina!B:E,4,0),"")</f>
        <v>GENESIS VALENTINA SALAZAR GUEVARA</v>
      </c>
      <c r="B162" t="str">
        <f>IFERROR(VLOOKUP(A162,Nómina!E:F,2,0),"")</f>
        <v>27828546-4</v>
      </c>
      <c r="C162" s="30">
        <f t="shared" si="35"/>
        <v>22689</v>
      </c>
      <c r="D162" t="str">
        <f t="shared" si="36"/>
        <v>2026-07-12</v>
      </c>
      <c r="E162" t="str">
        <f t="shared" si="37"/>
        <v>B2C</v>
      </c>
      <c r="F162" t="str">
        <f t="shared" si="38"/>
        <v>Masaje</v>
      </c>
      <c r="G162" t="str">
        <f t="shared" si="39"/>
        <v>Pareja</v>
      </c>
      <c r="H162" t="str">
        <f t="shared" si="40"/>
        <v>60min</v>
      </c>
      <c r="I162" t="str">
        <f t="shared" si="41"/>
        <v>Tejido profundo</v>
      </c>
      <c r="J162" t="str">
        <f t="shared" si="42"/>
        <v>VITACURA</v>
      </c>
      <c r="K162" t="str">
        <f t="shared" si="43"/>
        <v>Ninguno</v>
      </c>
      <c r="L162">
        <f t="shared" si="44"/>
        <v>0</v>
      </c>
      <c r="M162">
        <f t="shared" si="45"/>
        <v>0</v>
      </c>
      <c r="N162" t="str">
        <f t="shared" si="46"/>
        <v/>
      </c>
      <c r="O162" s="10" t="str">
        <f>+VLOOKUP(Z162,listas!$B:$C,2,0)</f>
        <v>B2C</v>
      </c>
      <c r="P162" s="11">
        <f t="shared" si="34"/>
        <v>45000</v>
      </c>
      <c r="Q162" s="11">
        <f t="shared" si="47"/>
        <v>22689</v>
      </c>
      <c r="R162" s="59">
        <f t="shared" si="48"/>
        <v>7</v>
      </c>
      <c r="S162" s="59">
        <f t="shared" si="49"/>
        <v>12</v>
      </c>
      <c r="T162" s="11">
        <f t="shared" si="50"/>
        <v>1</v>
      </c>
      <c r="U162" s="120" t="s">
        <v>80</v>
      </c>
      <c r="V162" s="120" t="s">
        <v>850</v>
      </c>
      <c r="W162" s="120" t="s">
        <v>814</v>
      </c>
      <c r="X162" s="120" t="s">
        <v>814</v>
      </c>
      <c r="Y162" s="120" t="s">
        <v>114</v>
      </c>
      <c r="Z162" s="120" t="s">
        <v>98</v>
      </c>
      <c r="AA162" s="120" t="s">
        <v>99</v>
      </c>
      <c r="AB162" s="120" t="s">
        <v>4</v>
      </c>
      <c r="AC162" s="120" t="s">
        <v>82</v>
      </c>
      <c r="AD162" s="120" t="s">
        <v>119</v>
      </c>
      <c r="AE162" s="120" t="s">
        <v>84</v>
      </c>
      <c r="AF162" s="120" t="s">
        <v>123</v>
      </c>
      <c r="AG162" s="133">
        <v>45000</v>
      </c>
      <c r="AH162" s="133">
        <v>45000</v>
      </c>
      <c r="AI162" s="133">
        <v>0</v>
      </c>
      <c r="AJ162" s="133">
        <v>0</v>
      </c>
      <c r="AK162" s="133">
        <v>27000</v>
      </c>
      <c r="AL162" s="120" t="s">
        <v>86</v>
      </c>
      <c r="AM162" s="120" t="s">
        <v>86</v>
      </c>
      <c r="AN162" s="120" t="s">
        <v>86</v>
      </c>
      <c r="AO162" s="120" t="s">
        <v>86</v>
      </c>
      <c r="AP162" s="120" t="s">
        <v>86</v>
      </c>
      <c r="AQ162" s="120" t="s">
        <v>851</v>
      </c>
      <c r="AR162" s="120" t="s">
        <v>852</v>
      </c>
      <c r="AS162" s="120" t="s">
        <v>115</v>
      </c>
      <c r="AT162" s="120" t="s">
        <v>115</v>
      </c>
      <c r="AU162" s="120" t="s">
        <v>109</v>
      </c>
      <c r="AV162" s="120" t="s">
        <v>549</v>
      </c>
      <c r="AW162" s="120" t="s">
        <v>92</v>
      </c>
      <c r="AX162" s="120" t="s">
        <v>103</v>
      </c>
      <c r="AY162" s="120">
        <v>0</v>
      </c>
      <c r="AZ162" s="120">
        <v>0</v>
      </c>
      <c r="BA162" s="120" t="s">
        <v>86</v>
      </c>
      <c r="BB162" s="134" t="s">
        <v>853</v>
      </c>
      <c r="BC162" s="120" t="s">
        <v>86</v>
      </c>
    </row>
    <row r="163" spans="1:55" ht="14.25" customHeight="1">
      <c r="A163" t="str">
        <f>IFERROR(VLOOKUP(AV163,Nómina!B:E,4,0),"")</f>
        <v>MARIA ELIANA BENAVIDES HIGUERA </v>
      </c>
      <c r="B163" t="str">
        <f>IFERROR(VLOOKUP(A163,Nómina!E:F,2,0),"")</f>
        <v>15168787-3</v>
      </c>
      <c r="C163" s="30">
        <f t="shared" si="35"/>
        <v>5042</v>
      </c>
      <c r="D163" t="str">
        <f t="shared" si="36"/>
        <v>2026-07-12</v>
      </c>
      <c r="E163" t="str">
        <f t="shared" si="37"/>
        <v>B2C</v>
      </c>
      <c r="F163" t="str">
        <f t="shared" si="38"/>
        <v>Addon</v>
      </c>
      <c r="G163" t="str">
        <f t="shared" si="39"/>
        <v>Pareja</v>
      </c>
      <c r="H163" t="str">
        <f t="shared" si="40"/>
        <v>15min</v>
      </c>
      <c r="I163" t="str">
        <f t="shared" si="41"/>
        <v>Masaje Tiempo Extra</v>
      </c>
      <c r="J163" t="str">
        <f t="shared" si="42"/>
        <v>VITACURA</v>
      </c>
      <c r="K163" t="str">
        <f t="shared" si="43"/>
        <v>Ninguno</v>
      </c>
      <c r="L163">
        <f t="shared" si="44"/>
        <v>0</v>
      </c>
      <c r="M163">
        <f t="shared" si="45"/>
        <v>0</v>
      </c>
      <c r="N163" t="str">
        <f t="shared" si="46"/>
        <v/>
      </c>
      <c r="O163" s="10" t="str">
        <f>+VLOOKUP(Z163,listas!$B:$C,2,0)</f>
        <v>B2C</v>
      </c>
      <c r="P163" s="11">
        <f t="shared" si="34"/>
        <v>10000</v>
      </c>
      <c r="Q163" s="11">
        <f t="shared" si="47"/>
        <v>5042</v>
      </c>
      <c r="R163" s="59">
        <f t="shared" si="48"/>
        <v>7</v>
      </c>
      <c r="S163" s="59">
        <f t="shared" si="49"/>
        <v>12</v>
      </c>
      <c r="T163" s="11">
        <f t="shared" si="50"/>
        <v>1</v>
      </c>
      <c r="U163" s="135" t="s">
        <v>80</v>
      </c>
      <c r="V163" s="135" t="s">
        <v>850</v>
      </c>
      <c r="W163" s="135" t="s">
        <v>814</v>
      </c>
      <c r="X163" s="135" t="s">
        <v>814</v>
      </c>
      <c r="Y163" s="135" t="s">
        <v>114</v>
      </c>
      <c r="Z163" s="135" t="s">
        <v>98</v>
      </c>
      <c r="AA163" s="135" t="s">
        <v>99</v>
      </c>
      <c r="AB163" s="135" t="s">
        <v>4</v>
      </c>
      <c r="AC163" s="135" t="s">
        <v>93</v>
      </c>
      <c r="AD163" s="135" t="s">
        <v>119</v>
      </c>
      <c r="AE163" s="135" t="s">
        <v>94</v>
      </c>
      <c r="AF163" s="135" t="s">
        <v>127</v>
      </c>
      <c r="AG163" s="136">
        <v>10000</v>
      </c>
      <c r="AH163" s="136">
        <v>10000</v>
      </c>
      <c r="AI163" s="136">
        <v>0</v>
      </c>
      <c r="AJ163" s="136">
        <v>0</v>
      </c>
      <c r="AK163" s="136">
        <v>6000</v>
      </c>
      <c r="AL163" s="135" t="s">
        <v>86</v>
      </c>
      <c r="AM163" s="135" t="s">
        <v>86</v>
      </c>
      <c r="AN163" s="135" t="s">
        <v>86</v>
      </c>
      <c r="AO163" s="135" t="s">
        <v>86</v>
      </c>
      <c r="AP163" s="135" t="s">
        <v>86</v>
      </c>
      <c r="AQ163" s="135" t="s">
        <v>851</v>
      </c>
      <c r="AR163" s="135" t="s">
        <v>852</v>
      </c>
      <c r="AS163" s="135" t="s">
        <v>115</v>
      </c>
      <c r="AT163" s="135" t="s">
        <v>115</v>
      </c>
      <c r="AU163" s="135" t="s">
        <v>147</v>
      </c>
      <c r="AV163" s="135" t="s">
        <v>13</v>
      </c>
      <c r="AW163" s="135" t="s">
        <v>92</v>
      </c>
      <c r="AX163" s="135" t="s">
        <v>103</v>
      </c>
      <c r="AY163" s="135">
        <v>0</v>
      </c>
      <c r="AZ163" s="135">
        <v>0</v>
      </c>
      <c r="BA163" s="135" t="s">
        <v>86</v>
      </c>
      <c r="BB163" s="137" t="s">
        <v>853</v>
      </c>
      <c r="BC163" s="135" t="s">
        <v>86</v>
      </c>
    </row>
    <row r="164" spans="1:55" ht="14.25" customHeight="1">
      <c r="A164" t="str">
        <f>IFERROR(VLOOKUP(AV164,Nómina!B:E,4,0),"")</f>
        <v>GENESIS VALENTINA SALAZAR GUEVARA</v>
      </c>
      <c r="B164" t="str">
        <f>IFERROR(VLOOKUP(A164,Nómina!E:F,2,0),"")</f>
        <v>27828546-4</v>
      </c>
      <c r="C164" s="30">
        <f t="shared" si="35"/>
        <v>5042</v>
      </c>
      <c r="D164" t="str">
        <f t="shared" si="36"/>
        <v>2026-07-12</v>
      </c>
      <c r="E164" t="str">
        <f t="shared" si="37"/>
        <v>B2C</v>
      </c>
      <c r="F164" t="str">
        <f t="shared" si="38"/>
        <v>Addon</v>
      </c>
      <c r="G164" t="str">
        <f t="shared" si="39"/>
        <v>Pareja</v>
      </c>
      <c r="H164" t="str">
        <f t="shared" si="40"/>
        <v>15min</v>
      </c>
      <c r="I164" t="str">
        <f t="shared" si="41"/>
        <v>Masaje Tiempo Extra</v>
      </c>
      <c r="J164" t="str">
        <f t="shared" si="42"/>
        <v>VITACURA</v>
      </c>
      <c r="K164" t="str">
        <f t="shared" si="43"/>
        <v>Ninguno</v>
      </c>
      <c r="L164">
        <f t="shared" si="44"/>
        <v>0</v>
      </c>
      <c r="M164">
        <f t="shared" si="45"/>
        <v>0</v>
      </c>
      <c r="N164" t="str">
        <f t="shared" si="46"/>
        <v/>
      </c>
      <c r="O164" s="10" t="str">
        <f>+VLOOKUP(Z164,listas!$B:$C,2,0)</f>
        <v>B2C</v>
      </c>
      <c r="P164" s="11">
        <f t="shared" si="34"/>
        <v>10000</v>
      </c>
      <c r="Q164" s="11">
        <f t="shared" si="47"/>
        <v>5042</v>
      </c>
      <c r="R164" s="59">
        <f t="shared" si="48"/>
        <v>7</v>
      </c>
      <c r="S164" s="59">
        <f t="shared" si="49"/>
        <v>12</v>
      </c>
      <c r="T164" s="11">
        <f t="shared" si="50"/>
        <v>1</v>
      </c>
      <c r="U164" s="135" t="s">
        <v>80</v>
      </c>
      <c r="V164" s="135" t="s">
        <v>850</v>
      </c>
      <c r="W164" s="135" t="s">
        <v>814</v>
      </c>
      <c r="X164" s="135" t="s">
        <v>814</v>
      </c>
      <c r="Y164" s="135" t="s">
        <v>114</v>
      </c>
      <c r="Z164" s="135" t="s">
        <v>98</v>
      </c>
      <c r="AA164" s="135" t="s">
        <v>99</v>
      </c>
      <c r="AB164" s="135" t="s">
        <v>4</v>
      </c>
      <c r="AC164" s="135" t="s">
        <v>93</v>
      </c>
      <c r="AD164" s="135" t="s">
        <v>119</v>
      </c>
      <c r="AE164" s="135" t="s">
        <v>94</v>
      </c>
      <c r="AF164" s="135" t="s">
        <v>127</v>
      </c>
      <c r="AG164" s="136">
        <v>10000</v>
      </c>
      <c r="AH164" s="136">
        <v>10000</v>
      </c>
      <c r="AI164" s="136">
        <v>0</v>
      </c>
      <c r="AJ164" s="136">
        <v>0</v>
      </c>
      <c r="AK164" s="136">
        <v>6000</v>
      </c>
      <c r="AL164" s="135" t="s">
        <v>86</v>
      </c>
      <c r="AM164" s="135" t="s">
        <v>86</v>
      </c>
      <c r="AN164" s="135" t="s">
        <v>86</v>
      </c>
      <c r="AO164" s="135" t="s">
        <v>86</v>
      </c>
      <c r="AP164" s="135" t="s">
        <v>86</v>
      </c>
      <c r="AQ164" s="135" t="s">
        <v>851</v>
      </c>
      <c r="AR164" s="135" t="s">
        <v>852</v>
      </c>
      <c r="AS164" s="135" t="s">
        <v>115</v>
      </c>
      <c r="AT164" s="135" t="s">
        <v>115</v>
      </c>
      <c r="AU164" s="135" t="s">
        <v>109</v>
      </c>
      <c r="AV164" s="135" t="s">
        <v>549</v>
      </c>
      <c r="AW164" s="135" t="s">
        <v>92</v>
      </c>
      <c r="AX164" s="135" t="s">
        <v>103</v>
      </c>
      <c r="AY164" s="135">
        <v>0</v>
      </c>
      <c r="AZ164" s="135">
        <v>0</v>
      </c>
      <c r="BA164" s="135" t="s">
        <v>86</v>
      </c>
      <c r="BB164" s="137" t="s">
        <v>853</v>
      </c>
      <c r="BC164" s="135" t="s">
        <v>86</v>
      </c>
    </row>
    <row r="165" spans="1:55" ht="14.25" customHeight="1">
      <c r="A165" t="str">
        <f>IFERROR(VLOOKUP(AV165,Nómina!B:E,4,0),"")</f>
        <v>MARIA ELIANA BENAVIDES HIGUERA </v>
      </c>
      <c r="B165" t="str">
        <f>IFERROR(VLOOKUP(A165,Nómina!E:F,2,0),"")</f>
        <v>15168787-3</v>
      </c>
      <c r="C165" s="30">
        <f t="shared" si="35"/>
        <v>2521</v>
      </c>
      <c r="D165" t="str">
        <f t="shared" si="36"/>
        <v>2026-07-12</v>
      </c>
      <c r="E165" t="str">
        <f t="shared" si="37"/>
        <v>B2C</v>
      </c>
      <c r="F165" t="str">
        <f t="shared" si="38"/>
        <v>Extra</v>
      </c>
      <c r="G165" t="str">
        <f t="shared" si="39"/>
        <v>Pareja</v>
      </c>
      <c r="H165" t="str">
        <f t="shared" si="40"/>
        <v>-</v>
      </c>
      <c r="I165" t="str">
        <f t="shared" si="41"/>
        <v>Extra por festivo o fin de semana</v>
      </c>
      <c r="J165" t="str">
        <f t="shared" si="42"/>
        <v>VITACURA</v>
      </c>
      <c r="K165" t="str">
        <f t="shared" si="43"/>
        <v>Ninguno</v>
      </c>
      <c r="L165">
        <f t="shared" si="44"/>
        <v>0</v>
      </c>
      <c r="M165">
        <f t="shared" si="45"/>
        <v>0</v>
      </c>
      <c r="N165" t="str">
        <f t="shared" si="46"/>
        <v/>
      </c>
      <c r="O165" s="10" t="str">
        <f>+VLOOKUP(Z165,listas!$B:$C,2,0)</f>
        <v>B2C</v>
      </c>
      <c r="P165" s="11">
        <f t="shared" si="34"/>
        <v>5000</v>
      </c>
      <c r="Q165" s="11">
        <f t="shared" si="47"/>
        <v>2521</v>
      </c>
      <c r="R165" s="59">
        <f t="shared" si="48"/>
        <v>7</v>
      </c>
      <c r="S165" s="59">
        <f t="shared" si="49"/>
        <v>12</v>
      </c>
      <c r="T165" s="11">
        <f t="shared" si="50"/>
        <v>1</v>
      </c>
      <c r="U165" s="138" t="s">
        <v>80</v>
      </c>
      <c r="V165" s="138" t="s">
        <v>850</v>
      </c>
      <c r="W165" s="138" t="s">
        <v>814</v>
      </c>
      <c r="X165" s="138" t="s">
        <v>814</v>
      </c>
      <c r="Y165" s="138" t="s">
        <v>114</v>
      </c>
      <c r="Z165" s="138" t="s">
        <v>98</v>
      </c>
      <c r="AA165" s="138" t="s">
        <v>99</v>
      </c>
      <c r="AB165" s="138" t="s">
        <v>4</v>
      </c>
      <c r="AC165" s="138" t="s">
        <v>104</v>
      </c>
      <c r="AD165" s="138" t="s">
        <v>119</v>
      </c>
      <c r="AE165" s="138" t="s">
        <v>105</v>
      </c>
      <c r="AF165" s="138" t="s">
        <v>438</v>
      </c>
      <c r="AG165" s="139">
        <v>5000</v>
      </c>
      <c r="AH165" s="139">
        <v>5000</v>
      </c>
      <c r="AI165" s="139">
        <v>0</v>
      </c>
      <c r="AJ165" s="139">
        <v>0</v>
      </c>
      <c r="AK165" s="139">
        <v>5000</v>
      </c>
      <c r="AL165" s="138" t="s">
        <v>86</v>
      </c>
      <c r="AM165" s="138" t="s">
        <v>86</v>
      </c>
      <c r="AN165" s="138" t="s">
        <v>86</v>
      </c>
      <c r="AO165" s="138" t="s">
        <v>86</v>
      </c>
      <c r="AP165" s="138" t="s">
        <v>86</v>
      </c>
      <c r="AQ165" s="138" t="s">
        <v>851</v>
      </c>
      <c r="AR165" s="138" t="s">
        <v>852</v>
      </c>
      <c r="AS165" s="138" t="s">
        <v>115</v>
      </c>
      <c r="AT165" s="138" t="s">
        <v>115</v>
      </c>
      <c r="AU165" s="138" t="s">
        <v>147</v>
      </c>
      <c r="AV165" s="138" t="s">
        <v>13</v>
      </c>
      <c r="AW165" s="138" t="s">
        <v>92</v>
      </c>
      <c r="AX165" s="138" t="s">
        <v>103</v>
      </c>
      <c r="AY165" s="138">
        <v>0</v>
      </c>
      <c r="AZ165" s="138">
        <v>0</v>
      </c>
      <c r="BA165" s="138" t="s">
        <v>86</v>
      </c>
      <c r="BB165" s="140" t="s">
        <v>853</v>
      </c>
      <c r="BC165" s="138" t="s">
        <v>86</v>
      </c>
    </row>
    <row r="166" spans="1:55" ht="14.25" customHeight="1">
      <c r="A166" t="str">
        <f>IFERROR(VLOOKUP(AV166,Nómina!B:E,4,0),"")</f>
        <v>GENESIS VALENTINA SALAZAR GUEVARA</v>
      </c>
      <c r="B166" t="str">
        <f>IFERROR(VLOOKUP(A166,Nómina!E:F,2,0),"")</f>
        <v>27828546-4</v>
      </c>
      <c r="C166" s="30">
        <f t="shared" si="35"/>
        <v>2521</v>
      </c>
      <c r="D166" t="str">
        <f t="shared" si="36"/>
        <v>2026-07-12</v>
      </c>
      <c r="E166" t="str">
        <f t="shared" si="37"/>
        <v>B2C</v>
      </c>
      <c r="F166" t="str">
        <f t="shared" si="38"/>
        <v>Extra</v>
      </c>
      <c r="G166" t="str">
        <f t="shared" si="39"/>
        <v>Pareja</v>
      </c>
      <c r="H166" t="str">
        <f t="shared" si="40"/>
        <v>-</v>
      </c>
      <c r="I166" t="str">
        <f t="shared" si="41"/>
        <v>Extra por festivo o fin de semana</v>
      </c>
      <c r="J166" t="str">
        <f t="shared" si="42"/>
        <v>VITACURA</v>
      </c>
      <c r="K166" t="str">
        <f t="shared" si="43"/>
        <v>Ninguno</v>
      </c>
      <c r="L166">
        <f t="shared" si="44"/>
        <v>0</v>
      </c>
      <c r="M166">
        <f t="shared" si="45"/>
        <v>0</v>
      </c>
      <c r="N166" t="str">
        <f t="shared" si="46"/>
        <v/>
      </c>
      <c r="O166" s="10" t="str">
        <f>+VLOOKUP(Z166,listas!$B:$C,2,0)</f>
        <v>B2C</v>
      </c>
      <c r="P166" s="11">
        <f t="shared" si="34"/>
        <v>5000</v>
      </c>
      <c r="Q166" s="11">
        <f t="shared" si="47"/>
        <v>2521</v>
      </c>
      <c r="R166" s="59">
        <f t="shared" si="48"/>
        <v>7</v>
      </c>
      <c r="S166" s="59">
        <f t="shared" si="49"/>
        <v>12</v>
      </c>
      <c r="T166" s="11">
        <f t="shared" si="50"/>
        <v>1</v>
      </c>
      <c r="U166" s="138" t="s">
        <v>80</v>
      </c>
      <c r="V166" s="138" t="s">
        <v>850</v>
      </c>
      <c r="W166" s="138" t="s">
        <v>814</v>
      </c>
      <c r="X166" s="138" t="s">
        <v>814</v>
      </c>
      <c r="Y166" s="138" t="s">
        <v>114</v>
      </c>
      <c r="Z166" s="138" t="s">
        <v>98</v>
      </c>
      <c r="AA166" s="138" t="s">
        <v>99</v>
      </c>
      <c r="AB166" s="138" t="s">
        <v>4</v>
      </c>
      <c r="AC166" s="138" t="s">
        <v>104</v>
      </c>
      <c r="AD166" s="138" t="s">
        <v>119</v>
      </c>
      <c r="AE166" s="138" t="s">
        <v>105</v>
      </c>
      <c r="AF166" s="138" t="s">
        <v>438</v>
      </c>
      <c r="AG166" s="139">
        <v>5000</v>
      </c>
      <c r="AH166" s="139">
        <v>5000</v>
      </c>
      <c r="AI166" s="139">
        <v>0</v>
      </c>
      <c r="AJ166" s="139">
        <v>0</v>
      </c>
      <c r="AK166" s="139">
        <v>5000</v>
      </c>
      <c r="AL166" s="138" t="s">
        <v>86</v>
      </c>
      <c r="AM166" s="138" t="s">
        <v>86</v>
      </c>
      <c r="AN166" s="138" t="s">
        <v>86</v>
      </c>
      <c r="AO166" s="138" t="s">
        <v>86</v>
      </c>
      <c r="AP166" s="138" t="s">
        <v>86</v>
      </c>
      <c r="AQ166" s="138" t="s">
        <v>851</v>
      </c>
      <c r="AR166" s="138" t="s">
        <v>852</v>
      </c>
      <c r="AS166" s="138" t="s">
        <v>115</v>
      </c>
      <c r="AT166" s="138" t="s">
        <v>115</v>
      </c>
      <c r="AU166" s="138" t="s">
        <v>109</v>
      </c>
      <c r="AV166" s="138" t="s">
        <v>549</v>
      </c>
      <c r="AW166" s="138" t="s">
        <v>92</v>
      </c>
      <c r="AX166" s="138" t="s">
        <v>103</v>
      </c>
      <c r="AY166" s="138">
        <v>0</v>
      </c>
      <c r="AZ166" s="138">
        <v>0</v>
      </c>
      <c r="BA166" s="138" t="s">
        <v>86</v>
      </c>
      <c r="BB166" s="140" t="s">
        <v>853</v>
      </c>
      <c r="BC166" s="138" t="s">
        <v>86</v>
      </c>
    </row>
    <row r="167" spans="1:55" ht="14.25" customHeight="1">
      <c r="A167" t="str">
        <f>IFERROR(VLOOKUP(AV167,Nómina!B:E,4,0),"")</f>
        <v>MARIA MAGDALENA CASTRO MORGADO</v>
      </c>
      <c r="B167" t="str">
        <f>IFERROR(VLOOKUP(A167,Nómina!E:F,2,0),"")</f>
        <v>13335240-6</v>
      </c>
      <c r="C167" s="30">
        <f t="shared" si="35"/>
        <v>22689</v>
      </c>
      <c r="D167" t="str">
        <f t="shared" si="36"/>
        <v>2026-07-12</v>
      </c>
      <c r="E167" t="str">
        <f t="shared" si="37"/>
        <v>B2C</v>
      </c>
      <c r="F167" t="str">
        <f t="shared" si="38"/>
        <v>Masaje</v>
      </c>
      <c r="G167" t="str">
        <f t="shared" si="39"/>
        <v>Pareja</v>
      </c>
      <c r="H167" t="str">
        <f t="shared" si="40"/>
        <v>60min</v>
      </c>
      <c r="I167" t="str">
        <f t="shared" si="41"/>
        <v>Relajante</v>
      </c>
      <c r="J167" t="str">
        <f t="shared" si="42"/>
        <v>VITACURA</v>
      </c>
      <c r="K167" t="str">
        <f t="shared" si="43"/>
        <v>Ninguno</v>
      </c>
      <c r="L167">
        <f t="shared" si="44"/>
        <v>0</v>
      </c>
      <c r="M167">
        <f t="shared" si="45"/>
        <v>0</v>
      </c>
      <c r="N167" t="str">
        <f t="shared" si="46"/>
        <v/>
      </c>
      <c r="O167" s="10" t="str">
        <f>+VLOOKUP(Z167,listas!$B:$C,2,0)</f>
        <v>B2C</v>
      </c>
      <c r="P167" s="11">
        <f t="shared" si="34"/>
        <v>45000</v>
      </c>
      <c r="Q167" s="11">
        <f t="shared" si="47"/>
        <v>22689</v>
      </c>
      <c r="R167" s="59">
        <f t="shared" si="48"/>
        <v>7</v>
      </c>
      <c r="S167" s="59">
        <f t="shared" si="49"/>
        <v>12</v>
      </c>
      <c r="T167" s="11">
        <f t="shared" si="50"/>
        <v>1</v>
      </c>
      <c r="U167" s="120" t="s">
        <v>80</v>
      </c>
      <c r="V167" s="120" t="s">
        <v>854</v>
      </c>
      <c r="W167" s="120" t="s">
        <v>814</v>
      </c>
      <c r="X167" s="120" t="s">
        <v>814</v>
      </c>
      <c r="Y167" s="120" t="s">
        <v>148</v>
      </c>
      <c r="Z167" s="120" t="s">
        <v>98</v>
      </c>
      <c r="AA167" s="120" t="s">
        <v>99</v>
      </c>
      <c r="AB167" s="120" t="s">
        <v>4</v>
      </c>
      <c r="AC167" s="120" t="s">
        <v>82</v>
      </c>
      <c r="AD167" s="120" t="s">
        <v>119</v>
      </c>
      <c r="AE167" s="120" t="s">
        <v>84</v>
      </c>
      <c r="AF167" s="120" t="s">
        <v>85</v>
      </c>
      <c r="AG167" s="133">
        <v>45000</v>
      </c>
      <c r="AH167" s="133">
        <v>45000</v>
      </c>
      <c r="AI167" s="133">
        <v>0</v>
      </c>
      <c r="AJ167" s="133">
        <v>0</v>
      </c>
      <c r="AK167" s="133">
        <v>27000</v>
      </c>
      <c r="AL167" s="120" t="s">
        <v>86</v>
      </c>
      <c r="AM167" s="120" t="s">
        <v>86</v>
      </c>
      <c r="AN167" s="120" t="s">
        <v>86</v>
      </c>
      <c r="AO167" s="120" t="s">
        <v>86</v>
      </c>
      <c r="AP167" s="120" t="s">
        <v>86</v>
      </c>
      <c r="AQ167" s="120" t="s">
        <v>855</v>
      </c>
      <c r="AR167" s="120" t="s">
        <v>856</v>
      </c>
      <c r="AS167" s="120" t="s">
        <v>115</v>
      </c>
      <c r="AT167" s="120" t="s">
        <v>115</v>
      </c>
      <c r="AU167" s="120" t="s">
        <v>102</v>
      </c>
      <c r="AV167" s="120" t="s">
        <v>17</v>
      </c>
      <c r="AW167" s="120" t="s">
        <v>92</v>
      </c>
      <c r="AX167" s="120" t="s">
        <v>103</v>
      </c>
      <c r="AY167" s="120">
        <v>0</v>
      </c>
      <c r="AZ167" s="120">
        <v>0</v>
      </c>
      <c r="BA167" s="120" t="s">
        <v>86</v>
      </c>
      <c r="BB167" s="134" t="s">
        <v>857</v>
      </c>
      <c r="BC167" s="120" t="s">
        <v>86</v>
      </c>
    </row>
    <row r="168" spans="1:55" ht="14.25" customHeight="1">
      <c r="A168" t="str">
        <f>IFERROR(VLOOKUP(AV168,Nómina!B:E,4,0),"")</f>
        <v>IVVO LEANDRO VERGARA SALINAS</v>
      </c>
      <c r="B168" t="str">
        <f>IFERROR(VLOOKUP(A168,Nómina!E:F,2,0),"")</f>
        <v>17681238-9</v>
      </c>
      <c r="C168" s="30">
        <f t="shared" si="35"/>
        <v>22689</v>
      </c>
      <c r="D168" t="str">
        <f t="shared" si="36"/>
        <v>2026-07-12</v>
      </c>
      <c r="E168" t="str">
        <f t="shared" si="37"/>
        <v>B2C</v>
      </c>
      <c r="F168" t="str">
        <f t="shared" si="38"/>
        <v>Masaje</v>
      </c>
      <c r="G168" t="str">
        <f t="shared" si="39"/>
        <v>Pareja</v>
      </c>
      <c r="H168" t="str">
        <f t="shared" si="40"/>
        <v>60min</v>
      </c>
      <c r="I168" t="str">
        <f t="shared" si="41"/>
        <v>Tejido profundo</v>
      </c>
      <c r="J168" t="str">
        <f t="shared" si="42"/>
        <v>VITACURA</v>
      </c>
      <c r="K168" t="str">
        <f t="shared" si="43"/>
        <v>Ninguno</v>
      </c>
      <c r="L168">
        <f t="shared" si="44"/>
        <v>0</v>
      </c>
      <c r="M168">
        <f t="shared" si="45"/>
        <v>0</v>
      </c>
      <c r="N168" t="str">
        <f t="shared" si="46"/>
        <v/>
      </c>
      <c r="O168" s="10" t="str">
        <f>+VLOOKUP(Z168,listas!$B:$C,2,0)</f>
        <v>B2C</v>
      </c>
      <c r="P168" s="11">
        <f t="shared" si="34"/>
        <v>45000</v>
      </c>
      <c r="Q168" s="11">
        <f t="shared" si="47"/>
        <v>22689</v>
      </c>
      <c r="R168" s="59">
        <f t="shared" si="48"/>
        <v>7</v>
      </c>
      <c r="S168" s="59">
        <f t="shared" si="49"/>
        <v>12</v>
      </c>
      <c r="T168" s="11">
        <f t="shared" si="50"/>
        <v>1</v>
      </c>
      <c r="U168" s="120" t="s">
        <v>80</v>
      </c>
      <c r="V168" s="120" t="s">
        <v>854</v>
      </c>
      <c r="W168" s="120" t="s">
        <v>814</v>
      </c>
      <c r="X168" s="120" t="s">
        <v>814</v>
      </c>
      <c r="Y168" s="120" t="s">
        <v>148</v>
      </c>
      <c r="Z168" s="120" t="s">
        <v>98</v>
      </c>
      <c r="AA168" s="120" t="s">
        <v>99</v>
      </c>
      <c r="AB168" s="120" t="s">
        <v>4</v>
      </c>
      <c r="AC168" s="120" t="s">
        <v>82</v>
      </c>
      <c r="AD168" s="120" t="s">
        <v>119</v>
      </c>
      <c r="AE168" s="120" t="s">
        <v>84</v>
      </c>
      <c r="AF168" s="120" t="s">
        <v>123</v>
      </c>
      <c r="AG168" s="133">
        <v>45000</v>
      </c>
      <c r="AH168" s="133">
        <v>45000</v>
      </c>
      <c r="AI168" s="133">
        <v>0</v>
      </c>
      <c r="AJ168" s="133">
        <v>0</v>
      </c>
      <c r="AK168" s="133">
        <v>27000</v>
      </c>
      <c r="AL168" s="120" t="s">
        <v>86</v>
      </c>
      <c r="AM168" s="120" t="s">
        <v>86</v>
      </c>
      <c r="AN168" s="120" t="s">
        <v>86</v>
      </c>
      <c r="AO168" s="120" t="s">
        <v>86</v>
      </c>
      <c r="AP168" s="120" t="s">
        <v>86</v>
      </c>
      <c r="AQ168" s="120" t="s">
        <v>855</v>
      </c>
      <c r="AR168" s="120" t="s">
        <v>856</v>
      </c>
      <c r="AS168" s="120" t="s">
        <v>115</v>
      </c>
      <c r="AT168" s="120" t="s">
        <v>115</v>
      </c>
      <c r="AU168" s="120" t="s">
        <v>381</v>
      </c>
      <c r="AV168" s="120" t="s">
        <v>25</v>
      </c>
      <c r="AW168" s="120" t="s">
        <v>92</v>
      </c>
      <c r="AX168" s="120" t="s">
        <v>103</v>
      </c>
      <c r="AY168" s="120">
        <v>0</v>
      </c>
      <c r="AZ168" s="120">
        <v>0</v>
      </c>
      <c r="BA168" s="120" t="s">
        <v>86</v>
      </c>
      <c r="BB168" s="134" t="s">
        <v>857</v>
      </c>
      <c r="BC168" s="120" t="s">
        <v>86</v>
      </c>
    </row>
    <row r="169" spans="1:55" ht="14.25" customHeight="1">
      <c r="A169" t="str">
        <f>IFERROR(VLOOKUP(AV169,Nómina!B:E,4,0),"")</f>
        <v>MARIA MAGDALENA CASTRO MORGADO</v>
      </c>
      <c r="B169" t="str">
        <f>IFERROR(VLOOKUP(A169,Nómina!E:F,2,0),"")</f>
        <v>13335240-6</v>
      </c>
      <c r="C169" s="30">
        <f t="shared" si="35"/>
        <v>2521</v>
      </c>
      <c r="D169" t="str">
        <f t="shared" si="36"/>
        <v>2026-07-12</v>
      </c>
      <c r="E169" t="str">
        <f t="shared" si="37"/>
        <v>B2C</v>
      </c>
      <c r="F169" t="str">
        <f t="shared" si="38"/>
        <v>Extra</v>
      </c>
      <c r="G169" t="str">
        <f t="shared" si="39"/>
        <v>Pareja</v>
      </c>
      <c r="H169" t="str">
        <f t="shared" si="40"/>
        <v>-</v>
      </c>
      <c r="I169" t="str">
        <f t="shared" si="41"/>
        <v>Extra por festivo o fin de semana</v>
      </c>
      <c r="J169" t="str">
        <f t="shared" si="42"/>
        <v>VITACURA</v>
      </c>
      <c r="K169" t="str">
        <f t="shared" si="43"/>
        <v>Ninguno</v>
      </c>
      <c r="L169">
        <f t="shared" si="44"/>
        <v>0</v>
      </c>
      <c r="M169">
        <f t="shared" si="45"/>
        <v>0</v>
      </c>
      <c r="N169" t="str">
        <f t="shared" si="46"/>
        <v/>
      </c>
      <c r="O169" s="10" t="str">
        <f>+VLOOKUP(Z169,listas!$B:$C,2,0)</f>
        <v>B2C</v>
      </c>
      <c r="P169" s="11">
        <f t="shared" si="34"/>
        <v>5000</v>
      </c>
      <c r="Q169" s="11">
        <f t="shared" si="47"/>
        <v>2521</v>
      </c>
      <c r="R169" s="59">
        <f t="shared" si="48"/>
        <v>7</v>
      </c>
      <c r="S169" s="59">
        <f t="shared" si="49"/>
        <v>12</v>
      </c>
      <c r="T169" s="11">
        <f t="shared" si="50"/>
        <v>1</v>
      </c>
      <c r="U169" s="138" t="s">
        <v>80</v>
      </c>
      <c r="V169" s="138" t="s">
        <v>854</v>
      </c>
      <c r="W169" s="138" t="s">
        <v>814</v>
      </c>
      <c r="X169" s="138" t="s">
        <v>814</v>
      </c>
      <c r="Y169" s="138" t="s">
        <v>148</v>
      </c>
      <c r="Z169" s="138" t="s">
        <v>98</v>
      </c>
      <c r="AA169" s="138" t="s">
        <v>99</v>
      </c>
      <c r="AB169" s="138" t="s">
        <v>4</v>
      </c>
      <c r="AC169" s="138" t="s">
        <v>104</v>
      </c>
      <c r="AD169" s="138" t="s">
        <v>119</v>
      </c>
      <c r="AE169" s="138" t="s">
        <v>105</v>
      </c>
      <c r="AF169" s="138" t="s">
        <v>438</v>
      </c>
      <c r="AG169" s="139">
        <v>5000</v>
      </c>
      <c r="AH169" s="139">
        <v>5000</v>
      </c>
      <c r="AI169" s="139">
        <v>0</v>
      </c>
      <c r="AJ169" s="139">
        <v>0</v>
      </c>
      <c r="AK169" s="139">
        <v>5000</v>
      </c>
      <c r="AL169" s="138" t="s">
        <v>86</v>
      </c>
      <c r="AM169" s="138" t="s">
        <v>86</v>
      </c>
      <c r="AN169" s="138" t="s">
        <v>86</v>
      </c>
      <c r="AO169" s="138" t="s">
        <v>86</v>
      </c>
      <c r="AP169" s="138" t="s">
        <v>86</v>
      </c>
      <c r="AQ169" s="138" t="s">
        <v>855</v>
      </c>
      <c r="AR169" s="138" t="s">
        <v>856</v>
      </c>
      <c r="AS169" s="138" t="s">
        <v>115</v>
      </c>
      <c r="AT169" s="138" t="s">
        <v>115</v>
      </c>
      <c r="AU169" s="138" t="s">
        <v>102</v>
      </c>
      <c r="AV169" s="138" t="s">
        <v>17</v>
      </c>
      <c r="AW169" s="138" t="s">
        <v>92</v>
      </c>
      <c r="AX169" s="138" t="s">
        <v>103</v>
      </c>
      <c r="AY169" s="138">
        <v>0</v>
      </c>
      <c r="AZ169" s="138">
        <v>0</v>
      </c>
      <c r="BA169" s="138" t="s">
        <v>86</v>
      </c>
      <c r="BB169" s="140" t="s">
        <v>857</v>
      </c>
      <c r="BC169" s="138" t="s">
        <v>86</v>
      </c>
    </row>
    <row r="170" spans="1:55" ht="14.25" customHeight="1">
      <c r="A170" t="str">
        <f>IFERROR(VLOOKUP(AV170,Nómina!B:E,4,0),"")</f>
        <v>IVVO LEANDRO VERGARA SALINAS</v>
      </c>
      <c r="B170" t="str">
        <f>IFERROR(VLOOKUP(A170,Nómina!E:F,2,0),"")</f>
        <v>17681238-9</v>
      </c>
      <c r="C170" s="30">
        <f t="shared" si="35"/>
        <v>2521</v>
      </c>
      <c r="D170" t="str">
        <f t="shared" si="36"/>
        <v>2026-07-12</v>
      </c>
      <c r="E170" t="str">
        <f t="shared" si="37"/>
        <v>B2C</v>
      </c>
      <c r="F170" t="str">
        <f t="shared" si="38"/>
        <v>Extra</v>
      </c>
      <c r="G170" t="str">
        <f t="shared" si="39"/>
        <v>Pareja</v>
      </c>
      <c r="H170" t="str">
        <f t="shared" si="40"/>
        <v>-</v>
      </c>
      <c r="I170" t="str">
        <f t="shared" si="41"/>
        <v>Extra por festivo o fin de semana</v>
      </c>
      <c r="J170" t="str">
        <f t="shared" si="42"/>
        <v>VITACURA</v>
      </c>
      <c r="K170" t="str">
        <f t="shared" si="43"/>
        <v>Ninguno</v>
      </c>
      <c r="L170">
        <f t="shared" si="44"/>
        <v>0</v>
      </c>
      <c r="M170">
        <f t="shared" si="45"/>
        <v>0</v>
      </c>
      <c r="N170" t="str">
        <f t="shared" si="46"/>
        <v/>
      </c>
      <c r="O170" s="10" t="str">
        <f>+VLOOKUP(Z170,listas!$B:$C,2,0)</f>
        <v>B2C</v>
      </c>
      <c r="P170" s="11">
        <f t="shared" si="34"/>
        <v>5000</v>
      </c>
      <c r="Q170" s="11">
        <f t="shared" si="47"/>
        <v>2521</v>
      </c>
      <c r="R170" s="59">
        <f t="shared" si="48"/>
        <v>7</v>
      </c>
      <c r="S170" s="59">
        <f t="shared" si="49"/>
        <v>12</v>
      </c>
      <c r="T170" s="11">
        <f t="shared" si="50"/>
        <v>1</v>
      </c>
      <c r="U170" s="138" t="s">
        <v>80</v>
      </c>
      <c r="V170" s="138" t="s">
        <v>854</v>
      </c>
      <c r="W170" s="138" t="s">
        <v>814</v>
      </c>
      <c r="X170" s="138" t="s">
        <v>814</v>
      </c>
      <c r="Y170" s="138" t="s">
        <v>148</v>
      </c>
      <c r="Z170" s="138" t="s">
        <v>98</v>
      </c>
      <c r="AA170" s="138" t="s">
        <v>99</v>
      </c>
      <c r="AB170" s="138" t="s">
        <v>4</v>
      </c>
      <c r="AC170" s="138" t="s">
        <v>104</v>
      </c>
      <c r="AD170" s="138" t="s">
        <v>119</v>
      </c>
      <c r="AE170" s="138" t="s">
        <v>105</v>
      </c>
      <c r="AF170" s="138" t="s">
        <v>438</v>
      </c>
      <c r="AG170" s="139">
        <v>5000</v>
      </c>
      <c r="AH170" s="139">
        <v>5000</v>
      </c>
      <c r="AI170" s="139">
        <v>0</v>
      </c>
      <c r="AJ170" s="139">
        <v>0</v>
      </c>
      <c r="AK170" s="139">
        <v>5000</v>
      </c>
      <c r="AL170" s="138" t="s">
        <v>86</v>
      </c>
      <c r="AM170" s="138" t="s">
        <v>86</v>
      </c>
      <c r="AN170" s="138" t="s">
        <v>86</v>
      </c>
      <c r="AO170" s="138" t="s">
        <v>86</v>
      </c>
      <c r="AP170" s="138" t="s">
        <v>86</v>
      </c>
      <c r="AQ170" s="138" t="s">
        <v>855</v>
      </c>
      <c r="AR170" s="138" t="s">
        <v>856</v>
      </c>
      <c r="AS170" s="138" t="s">
        <v>115</v>
      </c>
      <c r="AT170" s="138" t="s">
        <v>115</v>
      </c>
      <c r="AU170" s="138" t="s">
        <v>381</v>
      </c>
      <c r="AV170" s="138" t="s">
        <v>25</v>
      </c>
      <c r="AW170" s="138" t="s">
        <v>92</v>
      </c>
      <c r="AX170" s="138" t="s">
        <v>103</v>
      </c>
      <c r="AY170" s="138">
        <v>0</v>
      </c>
      <c r="AZ170" s="138">
        <v>0</v>
      </c>
      <c r="BA170" s="138" t="s">
        <v>86</v>
      </c>
      <c r="BB170" s="140" t="s">
        <v>857</v>
      </c>
      <c r="BC170" s="138" t="s">
        <v>86</v>
      </c>
    </row>
    <row r="171" spans="1:55" ht="14.25" customHeight="1">
      <c r="A171" t="str">
        <f>IFERROR(VLOOKUP(AV171,Nómina!B:E,4,0),"")</f>
        <v>MARIA MAGDALENA CASTRO MORGADO</v>
      </c>
      <c r="B171" t="str">
        <f>IFERROR(VLOOKUP(A171,Nómina!E:F,2,0),"")</f>
        <v>13335240-6</v>
      </c>
      <c r="C171" s="30">
        <f t="shared" si="35"/>
        <v>22689</v>
      </c>
      <c r="D171" t="str">
        <f t="shared" si="36"/>
        <v>2026-07-13</v>
      </c>
      <c r="E171" t="str">
        <f t="shared" si="37"/>
        <v>B2C</v>
      </c>
      <c r="F171" t="str">
        <f t="shared" si="38"/>
        <v>Masaje</v>
      </c>
      <c r="G171" t="str">
        <f t="shared" si="39"/>
        <v>Individual</v>
      </c>
      <c r="H171" t="str">
        <f t="shared" si="40"/>
        <v>60min</v>
      </c>
      <c r="I171" t="str">
        <f t="shared" si="41"/>
        <v>Prenatal</v>
      </c>
      <c r="J171" t="str">
        <f t="shared" si="42"/>
        <v>CHICUREO</v>
      </c>
      <c r="K171" t="str">
        <f t="shared" si="43"/>
        <v>Ninguno</v>
      </c>
      <c r="L171">
        <f t="shared" si="44"/>
        <v>5</v>
      </c>
      <c r="M171">
        <f t="shared" si="45"/>
        <v>5</v>
      </c>
      <c r="N171" t="str">
        <f t="shared" si="46"/>
        <v/>
      </c>
      <c r="O171" s="10" t="str">
        <f>+VLOOKUP(Z171,listas!$B:$C,2,0)</f>
        <v>B2C</v>
      </c>
      <c r="P171" s="11">
        <f t="shared" si="34"/>
        <v>45000</v>
      </c>
      <c r="Q171" s="11">
        <f t="shared" si="47"/>
        <v>22689</v>
      </c>
      <c r="R171" s="59">
        <f t="shared" si="48"/>
        <v>7</v>
      </c>
      <c r="S171" s="59">
        <f t="shared" si="49"/>
        <v>13</v>
      </c>
      <c r="T171" s="11">
        <f t="shared" si="50"/>
        <v>1</v>
      </c>
      <c r="U171" s="120" t="s">
        <v>80</v>
      </c>
      <c r="V171" s="120" t="s">
        <v>858</v>
      </c>
      <c r="W171" s="120" t="s">
        <v>814</v>
      </c>
      <c r="X171" s="120" t="s">
        <v>859</v>
      </c>
      <c r="Y171" s="120" t="s">
        <v>149</v>
      </c>
      <c r="Z171" s="120" t="s">
        <v>98</v>
      </c>
      <c r="AA171" s="120" t="s">
        <v>99</v>
      </c>
      <c r="AB171" s="120" t="s">
        <v>4</v>
      </c>
      <c r="AC171" s="120" t="s">
        <v>82</v>
      </c>
      <c r="AD171" s="120" t="s">
        <v>83</v>
      </c>
      <c r="AE171" s="120" t="s">
        <v>84</v>
      </c>
      <c r="AF171" s="120" t="s">
        <v>100</v>
      </c>
      <c r="AG171" s="133">
        <v>45000</v>
      </c>
      <c r="AH171" s="133">
        <v>45000</v>
      </c>
      <c r="AI171" s="133">
        <v>0</v>
      </c>
      <c r="AJ171" s="133">
        <v>0</v>
      </c>
      <c r="AK171" s="133">
        <v>27000</v>
      </c>
      <c r="AL171" s="120" t="s">
        <v>86</v>
      </c>
      <c r="AM171" s="120" t="s">
        <v>86</v>
      </c>
      <c r="AN171" s="120" t="s">
        <v>86</v>
      </c>
      <c r="AO171" s="120" t="s">
        <v>86</v>
      </c>
      <c r="AP171" s="120" t="s">
        <v>86</v>
      </c>
      <c r="AQ171" s="120" t="s">
        <v>860</v>
      </c>
      <c r="AR171" s="120" t="s">
        <v>861</v>
      </c>
      <c r="AS171" s="120" t="s">
        <v>541</v>
      </c>
      <c r="AT171" s="120" t="s">
        <v>541</v>
      </c>
      <c r="AU171" s="120" t="s">
        <v>102</v>
      </c>
      <c r="AV171" s="120" t="s">
        <v>17</v>
      </c>
      <c r="AW171" s="120" t="s">
        <v>92</v>
      </c>
      <c r="AX171" s="120" t="s">
        <v>103</v>
      </c>
      <c r="AY171" s="120">
        <v>5</v>
      </c>
      <c r="AZ171" s="120">
        <v>5</v>
      </c>
      <c r="BA171" s="120" t="s">
        <v>86</v>
      </c>
      <c r="BB171" s="134" t="s">
        <v>862</v>
      </c>
      <c r="BC171" s="120" t="s">
        <v>86</v>
      </c>
    </row>
    <row r="172" spans="1:55" ht="14.25" customHeight="1">
      <c r="A172" t="str">
        <f>IFERROR(VLOOKUP(AV172,Nómina!B:E,4,0),"")</f>
        <v>MARIA MAGDALENA CASTRO MORGADO</v>
      </c>
      <c r="B172" t="str">
        <f>IFERROR(VLOOKUP(A172,Nómina!E:F,2,0),"")</f>
        <v>13335240-6</v>
      </c>
      <c r="C172" s="30">
        <f t="shared" si="35"/>
        <v>5580</v>
      </c>
      <c r="D172" t="str">
        <f t="shared" si="36"/>
        <v>2026-07-13</v>
      </c>
      <c r="E172" t="str">
        <f t="shared" si="37"/>
        <v>B2C</v>
      </c>
      <c r="F172" t="str">
        <f t="shared" si="38"/>
        <v>Extra</v>
      </c>
      <c r="G172" t="str">
        <f t="shared" si="39"/>
        <v>Individual</v>
      </c>
      <c r="H172" t="str">
        <f t="shared" si="40"/>
        <v>-</v>
      </c>
      <c r="I172" t="str">
        <f t="shared" si="41"/>
        <v>Extra de transporte</v>
      </c>
      <c r="J172" t="str">
        <f t="shared" si="42"/>
        <v>CHICUREO</v>
      </c>
      <c r="K172" t="str">
        <f t="shared" si="43"/>
        <v>Ninguno</v>
      </c>
      <c r="L172">
        <f t="shared" si="44"/>
        <v>5</v>
      </c>
      <c r="M172">
        <f t="shared" si="45"/>
        <v>5</v>
      </c>
      <c r="N172" t="str">
        <f t="shared" si="46"/>
        <v/>
      </c>
      <c r="O172" s="10" t="str">
        <f>+VLOOKUP(Z172,listas!$B:$C,2,0)</f>
        <v>B2C</v>
      </c>
      <c r="P172" s="11">
        <f t="shared" si="34"/>
        <v>6990</v>
      </c>
      <c r="Q172" s="11">
        <f t="shared" si="47"/>
        <v>5580</v>
      </c>
      <c r="R172" s="59">
        <f t="shared" si="48"/>
        <v>7</v>
      </c>
      <c r="S172" s="59">
        <f t="shared" si="49"/>
        <v>13</v>
      </c>
      <c r="T172" s="11">
        <f t="shared" si="50"/>
        <v>1</v>
      </c>
      <c r="U172" s="138" t="s">
        <v>80</v>
      </c>
      <c r="V172" s="138" t="s">
        <v>858</v>
      </c>
      <c r="W172" s="138" t="s">
        <v>814</v>
      </c>
      <c r="X172" s="138" t="s">
        <v>859</v>
      </c>
      <c r="Y172" s="138" t="s">
        <v>149</v>
      </c>
      <c r="Z172" s="138" t="s">
        <v>98</v>
      </c>
      <c r="AA172" s="138" t="s">
        <v>99</v>
      </c>
      <c r="AB172" s="138" t="s">
        <v>4</v>
      </c>
      <c r="AC172" s="138" t="s">
        <v>104</v>
      </c>
      <c r="AD172" s="138" t="s">
        <v>83</v>
      </c>
      <c r="AE172" s="138" t="s">
        <v>105</v>
      </c>
      <c r="AF172" s="138" t="s">
        <v>106</v>
      </c>
      <c r="AG172" s="139">
        <v>6990</v>
      </c>
      <c r="AH172" s="139">
        <v>6990</v>
      </c>
      <c r="AI172" s="139">
        <v>0</v>
      </c>
      <c r="AJ172" s="139">
        <v>0</v>
      </c>
      <c r="AK172" s="139">
        <v>6990</v>
      </c>
      <c r="AL172" s="138" t="s">
        <v>86</v>
      </c>
      <c r="AM172" s="138" t="s">
        <v>86</v>
      </c>
      <c r="AN172" s="138" t="s">
        <v>86</v>
      </c>
      <c r="AO172" s="138" t="s">
        <v>86</v>
      </c>
      <c r="AP172" s="138" t="s">
        <v>86</v>
      </c>
      <c r="AQ172" s="138" t="s">
        <v>860</v>
      </c>
      <c r="AR172" s="138" t="s">
        <v>861</v>
      </c>
      <c r="AS172" s="138" t="s">
        <v>541</v>
      </c>
      <c r="AT172" s="138" t="s">
        <v>541</v>
      </c>
      <c r="AU172" s="138" t="s">
        <v>102</v>
      </c>
      <c r="AV172" s="138" t="s">
        <v>17</v>
      </c>
      <c r="AW172" s="138" t="s">
        <v>92</v>
      </c>
      <c r="AX172" s="138" t="s">
        <v>103</v>
      </c>
      <c r="AY172" s="138">
        <v>5</v>
      </c>
      <c r="AZ172" s="138">
        <v>5</v>
      </c>
      <c r="BA172" s="138" t="s">
        <v>86</v>
      </c>
      <c r="BB172" s="140" t="s">
        <v>862</v>
      </c>
      <c r="BC172" s="138" t="s">
        <v>86</v>
      </c>
    </row>
    <row r="173" spans="1:55" ht="14.25" customHeight="1">
      <c r="A173" t="str">
        <f>IFERROR(VLOOKUP(AV173,Nómina!B:E,4,0),"")</f>
        <v>DANIELA ANTONIA ALARCON ELIZALDE</v>
      </c>
      <c r="B173" t="str">
        <f>IFERROR(VLOOKUP(A173,Nómina!E:F,2,0),"")</f>
        <v>15893769-7</v>
      </c>
      <c r="C173" s="30">
        <f t="shared" si="35"/>
        <v>22689</v>
      </c>
      <c r="D173" t="str">
        <f t="shared" si="36"/>
        <v>2026-07-13</v>
      </c>
      <c r="E173" t="str">
        <f t="shared" si="37"/>
        <v>B2C</v>
      </c>
      <c r="F173" t="str">
        <f t="shared" si="38"/>
        <v>Masaje</v>
      </c>
      <c r="G173" t="str">
        <f t="shared" si="39"/>
        <v>Individual</v>
      </c>
      <c r="H173" t="str">
        <f t="shared" si="40"/>
        <v>60min</v>
      </c>
      <c r="I173" t="str">
        <f t="shared" si="41"/>
        <v>Relajante</v>
      </c>
      <c r="J173" t="str">
        <f t="shared" si="42"/>
        <v>LAS CONDES</v>
      </c>
      <c r="K173" t="str">
        <f t="shared" si="43"/>
        <v>Ninguno</v>
      </c>
      <c r="L173">
        <f t="shared" si="44"/>
        <v>0</v>
      </c>
      <c r="M173">
        <f t="shared" si="45"/>
        <v>0</v>
      </c>
      <c r="N173" t="str">
        <f t="shared" si="46"/>
        <v/>
      </c>
      <c r="O173" s="10" t="str">
        <f>+VLOOKUP(Z173,listas!$B:$C,2,0)</f>
        <v>B2C</v>
      </c>
      <c r="P173" s="11">
        <f t="shared" si="34"/>
        <v>45000</v>
      </c>
      <c r="Q173" s="11">
        <f t="shared" si="47"/>
        <v>22689</v>
      </c>
      <c r="R173" s="59">
        <f t="shared" si="48"/>
        <v>7</v>
      </c>
      <c r="S173" s="59">
        <f t="shared" si="49"/>
        <v>13</v>
      </c>
      <c r="T173" s="11">
        <f t="shared" si="50"/>
        <v>1</v>
      </c>
      <c r="U173" s="120" t="s">
        <v>80</v>
      </c>
      <c r="V173" s="120" t="s">
        <v>863</v>
      </c>
      <c r="W173" s="120" t="s">
        <v>814</v>
      </c>
      <c r="X173" s="120" t="s">
        <v>859</v>
      </c>
      <c r="Y173" s="120" t="s">
        <v>128</v>
      </c>
      <c r="Z173" s="120" t="s">
        <v>98</v>
      </c>
      <c r="AA173" s="120" t="s">
        <v>99</v>
      </c>
      <c r="AB173" s="120" t="s">
        <v>4</v>
      </c>
      <c r="AC173" s="120" t="s">
        <v>82</v>
      </c>
      <c r="AD173" s="120" t="s">
        <v>83</v>
      </c>
      <c r="AE173" s="120" t="s">
        <v>84</v>
      </c>
      <c r="AF173" s="120" t="s">
        <v>85</v>
      </c>
      <c r="AG173" s="133">
        <v>45000</v>
      </c>
      <c r="AH173" s="133">
        <v>45000</v>
      </c>
      <c r="AI173" s="133">
        <v>0</v>
      </c>
      <c r="AJ173" s="133">
        <v>0</v>
      </c>
      <c r="AK173" s="133">
        <v>27000</v>
      </c>
      <c r="AL173" s="120" t="s">
        <v>86</v>
      </c>
      <c r="AM173" s="120" t="s">
        <v>86</v>
      </c>
      <c r="AN173" s="120" t="s">
        <v>86</v>
      </c>
      <c r="AO173" s="120" t="s">
        <v>86</v>
      </c>
      <c r="AP173" s="120" t="s">
        <v>86</v>
      </c>
      <c r="AQ173" s="120" t="s">
        <v>864</v>
      </c>
      <c r="AR173" s="120" t="s">
        <v>865</v>
      </c>
      <c r="AS173" s="120" t="s">
        <v>89</v>
      </c>
      <c r="AT173" s="120" t="s">
        <v>89</v>
      </c>
      <c r="AU173" s="120" t="s">
        <v>168</v>
      </c>
      <c r="AV173" s="120" t="s">
        <v>510</v>
      </c>
      <c r="AW173" s="120" t="s">
        <v>92</v>
      </c>
      <c r="AX173" s="120" t="s">
        <v>103</v>
      </c>
      <c r="AY173" s="120">
        <v>0</v>
      </c>
      <c r="AZ173" s="120">
        <v>0</v>
      </c>
      <c r="BA173" s="120" t="s">
        <v>86</v>
      </c>
      <c r="BB173" s="134" t="s">
        <v>866</v>
      </c>
      <c r="BC173" s="120" t="s">
        <v>86</v>
      </c>
    </row>
    <row r="174" spans="1:55" ht="14.25" customHeight="1">
      <c r="A174" t="str">
        <f>IFERROR(VLOOKUP(AV174,Nómina!B:E,4,0),"")</f>
        <v>EUGENIA ISABEL MONTOYA VIELMA</v>
      </c>
      <c r="B174" t="str">
        <f>IFERROR(VLOOKUP(A174,Nómina!E:F,2,0),"")</f>
        <v>12897620-5</v>
      </c>
      <c r="C174" s="30">
        <f t="shared" si="35"/>
        <v>22689</v>
      </c>
      <c r="D174" t="str">
        <f t="shared" si="36"/>
        <v>2026-07-13</v>
      </c>
      <c r="E174" t="str">
        <f t="shared" si="37"/>
        <v>B2C</v>
      </c>
      <c r="F174" t="str">
        <f t="shared" si="38"/>
        <v>Masaje</v>
      </c>
      <c r="G174" t="str">
        <f t="shared" si="39"/>
        <v>Individual</v>
      </c>
      <c r="H174" t="str">
        <f t="shared" si="40"/>
        <v>60min</v>
      </c>
      <c r="I174" t="str">
        <f t="shared" si="41"/>
        <v>Tejido profundo</v>
      </c>
      <c r="J174" t="str">
        <f t="shared" si="42"/>
        <v>VITACURA</v>
      </c>
      <c r="K174" t="str">
        <f t="shared" si="43"/>
        <v>Ninguno</v>
      </c>
      <c r="L174">
        <f t="shared" si="44"/>
        <v>4</v>
      </c>
      <c r="M174">
        <f t="shared" si="45"/>
        <v>3</v>
      </c>
      <c r="N174" t="str">
        <f t="shared" si="46"/>
        <v>La terapeuta muy amorosa, pero no considere que hacía buenos masajes. No volvería a contratar el servicio</v>
      </c>
      <c r="O174" s="10" t="str">
        <f>+VLOOKUP(Z174,listas!$B:$C,2,0)</f>
        <v>B2C</v>
      </c>
      <c r="P174" s="11">
        <f t="shared" si="34"/>
        <v>45000</v>
      </c>
      <c r="Q174" s="11">
        <f t="shared" si="47"/>
        <v>22689</v>
      </c>
      <c r="R174" s="59">
        <f t="shared" si="48"/>
        <v>7</v>
      </c>
      <c r="S174" s="59">
        <f t="shared" si="49"/>
        <v>13</v>
      </c>
      <c r="T174" s="11">
        <f t="shared" si="50"/>
        <v>1</v>
      </c>
      <c r="U174" s="120" t="s">
        <v>80</v>
      </c>
      <c r="V174" s="120" t="s">
        <v>867</v>
      </c>
      <c r="W174" s="120" t="s">
        <v>814</v>
      </c>
      <c r="X174" s="120" t="s">
        <v>859</v>
      </c>
      <c r="Y174" s="120" t="s">
        <v>130</v>
      </c>
      <c r="Z174" s="120" t="s">
        <v>98</v>
      </c>
      <c r="AA174" s="120" t="s">
        <v>99</v>
      </c>
      <c r="AB174" s="120" t="s">
        <v>4</v>
      </c>
      <c r="AC174" s="120" t="s">
        <v>82</v>
      </c>
      <c r="AD174" s="120" t="s">
        <v>83</v>
      </c>
      <c r="AE174" s="120" t="s">
        <v>84</v>
      </c>
      <c r="AF174" s="120" t="s">
        <v>123</v>
      </c>
      <c r="AG174" s="133">
        <v>45000</v>
      </c>
      <c r="AH174" s="133">
        <v>45000</v>
      </c>
      <c r="AI174" s="133">
        <v>0</v>
      </c>
      <c r="AJ174" s="133">
        <v>0</v>
      </c>
      <c r="AK174" s="133">
        <v>27000</v>
      </c>
      <c r="AL174" s="120" t="s">
        <v>86</v>
      </c>
      <c r="AM174" s="120" t="s">
        <v>86</v>
      </c>
      <c r="AN174" s="120" t="s">
        <v>86</v>
      </c>
      <c r="AO174" s="120" t="s">
        <v>86</v>
      </c>
      <c r="AP174" s="120" t="s">
        <v>86</v>
      </c>
      <c r="AQ174" s="120" t="s">
        <v>868</v>
      </c>
      <c r="AR174" s="120" t="s">
        <v>869</v>
      </c>
      <c r="AS174" s="120" t="s">
        <v>115</v>
      </c>
      <c r="AT174" s="120" t="s">
        <v>115</v>
      </c>
      <c r="AU174" s="120" t="s">
        <v>152</v>
      </c>
      <c r="AV174" s="120" t="s">
        <v>14</v>
      </c>
      <c r="AW174" s="120" t="s">
        <v>92</v>
      </c>
      <c r="AX174" s="120" t="s">
        <v>103</v>
      </c>
      <c r="AY174" s="120">
        <v>4</v>
      </c>
      <c r="AZ174" s="120">
        <v>3</v>
      </c>
      <c r="BA174" s="120" t="s">
        <v>870</v>
      </c>
      <c r="BB174" s="134" t="s">
        <v>871</v>
      </c>
      <c r="BC174" s="120" t="s">
        <v>86</v>
      </c>
    </row>
    <row r="175" spans="1:55" ht="14.25" customHeight="1">
      <c r="A175" t="str">
        <f>IFERROR(VLOOKUP(AV175,Nómina!B:E,4,0),"")</f>
        <v>EUGENIA ISABEL MONTOYA VIELMA</v>
      </c>
      <c r="B175" t="str">
        <f>IFERROR(VLOOKUP(A175,Nómina!E:F,2,0),"")</f>
        <v>12897620-5</v>
      </c>
      <c r="C175" s="30">
        <f t="shared" si="35"/>
        <v>2521</v>
      </c>
      <c r="D175" t="str">
        <f t="shared" si="36"/>
        <v>2026-07-13</v>
      </c>
      <c r="E175" t="str">
        <f t="shared" si="37"/>
        <v>B2C</v>
      </c>
      <c r="F175" t="str">
        <f t="shared" si="38"/>
        <v>Extra</v>
      </c>
      <c r="G175" t="str">
        <f t="shared" si="39"/>
        <v>Individual</v>
      </c>
      <c r="H175" t="str">
        <f t="shared" si="40"/>
        <v>-</v>
      </c>
      <c r="I175" t="str">
        <f t="shared" si="41"/>
        <v>Extra por festivo o fin de semana</v>
      </c>
      <c r="J175" t="str">
        <f t="shared" si="42"/>
        <v>VITACURA</v>
      </c>
      <c r="K175" t="str">
        <f t="shared" si="43"/>
        <v>Ninguno</v>
      </c>
      <c r="L175">
        <f t="shared" si="44"/>
        <v>4</v>
      </c>
      <c r="M175">
        <f t="shared" si="45"/>
        <v>3</v>
      </c>
      <c r="N175" t="str">
        <f t="shared" si="46"/>
        <v>La terapeuta muy amorosa, pero no considere que hacía buenos masajes. No volvería a contratar el servicio</v>
      </c>
      <c r="O175" s="10" t="str">
        <f>+VLOOKUP(Z175,listas!$B:$C,2,0)</f>
        <v>B2C</v>
      </c>
      <c r="P175" s="11">
        <f t="shared" si="34"/>
        <v>5000</v>
      </c>
      <c r="Q175" s="11">
        <f t="shared" si="47"/>
        <v>2521</v>
      </c>
      <c r="R175" s="59">
        <f t="shared" si="48"/>
        <v>7</v>
      </c>
      <c r="S175" s="59">
        <f t="shared" si="49"/>
        <v>13</v>
      </c>
      <c r="T175" s="11">
        <f t="shared" si="50"/>
        <v>1</v>
      </c>
      <c r="U175" s="138" t="s">
        <v>80</v>
      </c>
      <c r="V175" s="138" t="s">
        <v>867</v>
      </c>
      <c r="W175" s="138" t="s">
        <v>814</v>
      </c>
      <c r="X175" s="138" t="s">
        <v>859</v>
      </c>
      <c r="Y175" s="138" t="s">
        <v>130</v>
      </c>
      <c r="Z175" s="138" t="s">
        <v>98</v>
      </c>
      <c r="AA175" s="138" t="s">
        <v>99</v>
      </c>
      <c r="AB175" s="138" t="s">
        <v>4</v>
      </c>
      <c r="AC175" s="138" t="s">
        <v>104</v>
      </c>
      <c r="AD175" s="138" t="s">
        <v>83</v>
      </c>
      <c r="AE175" s="138" t="s">
        <v>105</v>
      </c>
      <c r="AF175" s="138" t="s">
        <v>438</v>
      </c>
      <c r="AG175" s="139">
        <v>5000</v>
      </c>
      <c r="AH175" s="139">
        <v>5000</v>
      </c>
      <c r="AI175" s="139">
        <v>0</v>
      </c>
      <c r="AJ175" s="139">
        <v>0</v>
      </c>
      <c r="AK175" s="139">
        <v>5000</v>
      </c>
      <c r="AL175" s="138" t="s">
        <v>86</v>
      </c>
      <c r="AM175" s="138" t="s">
        <v>86</v>
      </c>
      <c r="AN175" s="138" t="s">
        <v>86</v>
      </c>
      <c r="AO175" s="138" t="s">
        <v>86</v>
      </c>
      <c r="AP175" s="138" t="s">
        <v>86</v>
      </c>
      <c r="AQ175" s="138" t="s">
        <v>868</v>
      </c>
      <c r="AR175" s="138" t="s">
        <v>869</v>
      </c>
      <c r="AS175" s="138" t="s">
        <v>115</v>
      </c>
      <c r="AT175" s="138" t="s">
        <v>115</v>
      </c>
      <c r="AU175" s="138" t="s">
        <v>152</v>
      </c>
      <c r="AV175" s="138" t="s">
        <v>14</v>
      </c>
      <c r="AW175" s="138" t="s">
        <v>92</v>
      </c>
      <c r="AX175" s="138" t="s">
        <v>103</v>
      </c>
      <c r="AY175" s="138">
        <v>4</v>
      </c>
      <c r="AZ175" s="138">
        <v>3</v>
      </c>
      <c r="BA175" s="138" t="s">
        <v>870</v>
      </c>
      <c r="BB175" s="140" t="s">
        <v>871</v>
      </c>
      <c r="BC175" s="138" t="s">
        <v>86</v>
      </c>
    </row>
    <row r="176" spans="1:55" ht="14.25" customHeight="1">
      <c r="A176" t="str">
        <f>IFERROR(VLOOKUP(AV176,Nómina!B:E,4,0),"")</f>
        <v>PAMELA CONSTANZA HUILITRARO QUEZADA</v>
      </c>
      <c r="B176" t="str">
        <f>IFERROR(VLOOKUP(A176,Nómina!E:F,2,0),"")</f>
        <v>18881513-8</v>
      </c>
      <c r="C176" s="30">
        <f t="shared" si="35"/>
        <v>22689</v>
      </c>
      <c r="D176" t="str">
        <f t="shared" si="36"/>
        <v>2026-07-13</v>
      </c>
      <c r="E176" t="str">
        <f t="shared" si="37"/>
        <v>HOTEL</v>
      </c>
      <c r="F176" t="str">
        <f t="shared" si="38"/>
        <v>Masaje</v>
      </c>
      <c r="G176" t="str">
        <f t="shared" si="39"/>
        <v>Individual</v>
      </c>
      <c r="H176" t="str">
        <f t="shared" si="40"/>
        <v>60min</v>
      </c>
      <c r="I176" t="str">
        <f t="shared" si="41"/>
        <v>Relajante</v>
      </c>
      <c r="J176" t="str">
        <f t="shared" si="42"/>
        <v>LAS CONDES</v>
      </c>
      <c r="K176" t="str">
        <f t="shared" si="43"/>
        <v>Huésped: Claudio Catano. Hab: 1318. Solicita: Crystal Aguilar.</v>
      </c>
      <c r="L176">
        <f t="shared" si="44"/>
        <v>0</v>
      </c>
      <c r="M176">
        <f t="shared" si="45"/>
        <v>0</v>
      </c>
      <c r="N176" t="str">
        <f t="shared" si="46"/>
        <v/>
      </c>
      <c r="O176" s="10" t="str">
        <f>+VLOOKUP(Z176,listas!$B:$C,2,0)</f>
        <v>HOTEL</v>
      </c>
      <c r="P176" s="11">
        <f t="shared" si="34"/>
        <v>45000</v>
      </c>
      <c r="Q176" s="11">
        <f t="shared" si="47"/>
        <v>22689</v>
      </c>
      <c r="R176" s="59">
        <f t="shared" si="48"/>
        <v>7</v>
      </c>
      <c r="S176" s="59">
        <f t="shared" si="49"/>
        <v>13</v>
      </c>
      <c r="T176" s="11">
        <f t="shared" si="50"/>
        <v>1</v>
      </c>
      <c r="U176" s="120" t="s">
        <v>80</v>
      </c>
      <c r="V176" s="120" t="s">
        <v>872</v>
      </c>
      <c r="W176" s="120" t="s">
        <v>859</v>
      </c>
      <c r="X176" s="120" t="s">
        <v>859</v>
      </c>
      <c r="Y176" s="120" t="s">
        <v>130</v>
      </c>
      <c r="Z176" s="120" t="s">
        <v>5</v>
      </c>
      <c r="AA176" s="120" t="s">
        <v>81</v>
      </c>
      <c r="AB176" s="120" t="s">
        <v>5</v>
      </c>
      <c r="AC176" s="120" t="s">
        <v>82</v>
      </c>
      <c r="AD176" s="120" t="s">
        <v>83</v>
      </c>
      <c r="AE176" s="120" t="s">
        <v>84</v>
      </c>
      <c r="AF176" s="120" t="s">
        <v>85</v>
      </c>
      <c r="AG176" s="133">
        <v>45000</v>
      </c>
      <c r="AH176" s="133">
        <v>45000</v>
      </c>
      <c r="AI176" s="133">
        <v>0</v>
      </c>
      <c r="AJ176" s="133">
        <v>0</v>
      </c>
      <c r="AK176" s="133">
        <v>27000</v>
      </c>
      <c r="AL176" s="120" t="s">
        <v>86</v>
      </c>
      <c r="AM176" s="120" t="s">
        <v>86</v>
      </c>
      <c r="AN176" s="120" t="s">
        <v>86</v>
      </c>
      <c r="AO176" s="120" t="s">
        <v>86</v>
      </c>
      <c r="AP176" s="120" t="s">
        <v>86</v>
      </c>
      <c r="AQ176" s="120" t="s">
        <v>87</v>
      </c>
      <c r="AR176" s="120" t="s">
        <v>88</v>
      </c>
      <c r="AS176" s="120" t="s">
        <v>89</v>
      </c>
      <c r="AT176" s="120" t="s">
        <v>89</v>
      </c>
      <c r="AU176" s="120" t="s">
        <v>91</v>
      </c>
      <c r="AV176" s="120" t="s">
        <v>20</v>
      </c>
      <c r="AW176" s="120" t="s">
        <v>92</v>
      </c>
      <c r="AX176" s="120" t="s">
        <v>873</v>
      </c>
      <c r="AY176" s="120">
        <v>0</v>
      </c>
      <c r="AZ176" s="120">
        <v>0</v>
      </c>
      <c r="BA176" s="120" t="s">
        <v>86</v>
      </c>
      <c r="BB176" s="134" t="s">
        <v>874</v>
      </c>
      <c r="BC176" s="120" t="s">
        <v>86</v>
      </c>
    </row>
    <row r="177" spans="1:55" ht="14.25" customHeight="1">
      <c r="A177" t="str">
        <f>IFERROR(VLOOKUP(AV177,Nómina!B:E,4,0),"")</f>
        <v>PAMELA CONSTANZA HUILITRARO QUEZADA</v>
      </c>
      <c r="B177" t="str">
        <f>IFERROR(VLOOKUP(A177,Nómina!E:F,2,0),"")</f>
        <v>18881513-8</v>
      </c>
      <c r="C177" s="30">
        <f t="shared" si="35"/>
        <v>5042</v>
      </c>
      <c r="D177" t="str">
        <f t="shared" si="36"/>
        <v>2026-07-13</v>
      </c>
      <c r="E177" t="str">
        <f t="shared" si="37"/>
        <v>HOTEL</v>
      </c>
      <c r="F177" t="str">
        <f t="shared" si="38"/>
        <v>Addon</v>
      </c>
      <c r="G177" t="str">
        <f t="shared" si="39"/>
        <v>Individual</v>
      </c>
      <c r="H177" t="str">
        <f t="shared" si="40"/>
        <v>15min</v>
      </c>
      <c r="I177" t="str">
        <f t="shared" si="41"/>
        <v>Reflexología</v>
      </c>
      <c r="J177" t="str">
        <f t="shared" si="42"/>
        <v>LAS CONDES</v>
      </c>
      <c r="K177" t="str">
        <f t="shared" si="43"/>
        <v>Huésped: Claudio Catano. Hab: 1318. Solicita: Crystal Aguilar.</v>
      </c>
      <c r="L177">
        <f t="shared" si="44"/>
        <v>0</v>
      </c>
      <c r="M177">
        <f t="shared" si="45"/>
        <v>0</v>
      </c>
      <c r="N177" t="str">
        <f t="shared" si="46"/>
        <v/>
      </c>
      <c r="O177" s="10" t="str">
        <f>+VLOOKUP(Z177,listas!$B:$C,2,0)</f>
        <v>HOTEL</v>
      </c>
      <c r="P177" s="11">
        <f t="shared" si="34"/>
        <v>10000</v>
      </c>
      <c r="Q177" s="11">
        <f t="shared" si="47"/>
        <v>5042</v>
      </c>
      <c r="R177" s="59">
        <f t="shared" si="48"/>
        <v>7</v>
      </c>
      <c r="S177" s="59">
        <f t="shared" si="49"/>
        <v>13</v>
      </c>
      <c r="T177" s="11">
        <f t="shared" si="50"/>
        <v>1</v>
      </c>
      <c r="U177" s="135" t="s">
        <v>80</v>
      </c>
      <c r="V177" s="135" t="s">
        <v>872</v>
      </c>
      <c r="W177" s="135" t="s">
        <v>859</v>
      </c>
      <c r="X177" s="135" t="s">
        <v>859</v>
      </c>
      <c r="Y177" s="135" t="s">
        <v>130</v>
      </c>
      <c r="Z177" s="135" t="s">
        <v>5</v>
      </c>
      <c r="AA177" s="135" t="s">
        <v>81</v>
      </c>
      <c r="AB177" s="135" t="s">
        <v>5</v>
      </c>
      <c r="AC177" s="135" t="s">
        <v>93</v>
      </c>
      <c r="AD177" s="135" t="s">
        <v>83</v>
      </c>
      <c r="AE177" s="135" t="s">
        <v>94</v>
      </c>
      <c r="AF177" s="135" t="s">
        <v>95</v>
      </c>
      <c r="AG177" s="136">
        <v>10000</v>
      </c>
      <c r="AH177" s="136">
        <v>10000</v>
      </c>
      <c r="AI177" s="136">
        <v>0</v>
      </c>
      <c r="AJ177" s="136">
        <v>0</v>
      </c>
      <c r="AK177" s="136">
        <v>6000</v>
      </c>
      <c r="AL177" s="135" t="s">
        <v>86</v>
      </c>
      <c r="AM177" s="135" t="s">
        <v>86</v>
      </c>
      <c r="AN177" s="135" t="s">
        <v>86</v>
      </c>
      <c r="AO177" s="135" t="s">
        <v>86</v>
      </c>
      <c r="AP177" s="135" t="s">
        <v>86</v>
      </c>
      <c r="AQ177" s="135" t="s">
        <v>87</v>
      </c>
      <c r="AR177" s="135" t="s">
        <v>88</v>
      </c>
      <c r="AS177" s="135" t="s">
        <v>89</v>
      </c>
      <c r="AT177" s="135" t="s">
        <v>89</v>
      </c>
      <c r="AU177" s="135" t="s">
        <v>91</v>
      </c>
      <c r="AV177" s="135" t="s">
        <v>20</v>
      </c>
      <c r="AW177" s="135" t="s">
        <v>92</v>
      </c>
      <c r="AX177" s="135" t="s">
        <v>873</v>
      </c>
      <c r="AY177" s="135">
        <v>0</v>
      </c>
      <c r="AZ177" s="135">
        <v>0</v>
      </c>
      <c r="BA177" s="135" t="s">
        <v>86</v>
      </c>
      <c r="BB177" s="137" t="s">
        <v>874</v>
      </c>
      <c r="BC177" s="135" t="s">
        <v>86</v>
      </c>
    </row>
    <row r="178" spans="1:55" ht="14.25" customHeight="1">
      <c r="A178" t="str">
        <f>IFERROR(VLOOKUP(AV178,Nómina!B:E,4,0),"")</f>
        <v>WILLESKA ORTEGA JUSTO</v>
      </c>
      <c r="B178" t="str">
        <f>IFERROR(VLOOKUP(A178,Nómina!E:F,2,0),"")</f>
        <v>25310926-2</v>
      </c>
      <c r="C178" s="30">
        <f t="shared" si="35"/>
        <v>31765</v>
      </c>
      <c r="D178" t="str">
        <f t="shared" si="36"/>
        <v>2026-07-13</v>
      </c>
      <c r="E178" t="str">
        <f t="shared" si="37"/>
        <v>B2C</v>
      </c>
      <c r="F178" t="str">
        <f t="shared" si="38"/>
        <v>Masaje</v>
      </c>
      <c r="G178" t="str">
        <f t="shared" si="39"/>
        <v>Individual</v>
      </c>
      <c r="H178" t="str">
        <f t="shared" si="40"/>
        <v>90min</v>
      </c>
      <c r="I178" t="str">
        <f t="shared" si="41"/>
        <v>Relajante</v>
      </c>
      <c r="J178" t="str">
        <f t="shared" si="42"/>
        <v>LAS CONDES</v>
      </c>
      <c r="K178" t="str">
        <f t="shared" si="43"/>
        <v>Ninguno</v>
      </c>
      <c r="L178">
        <f t="shared" si="44"/>
        <v>0</v>
      </c>
      <c r="M178">
        <f t="shared" si="45"/>
        <v>0</v>
      </c>
      <c r="N178" t="str">
        <f t="shared" si="46"/>
        <v/>
      </c>
      <c r="O178" s="10" t="str">
        <f>+VLOOKUP(Z178,listas!$B:$C,2,0)</f>
        <v>B2C</v>
      </c>
      <c r="P178" s="11">
        <f t="shared" si="34"/>
        <v>63000</v>
      </c>
      <c r="Q178" s="11">
        <f t="shared" si="47"/>
        <v>31765</v>
      </c>
      <c r="R178" s="59">
        <f t="shared" si="48"/>
        <v>7</v>
      </c>
      <c r="S178" s="59">
        <f t="shared" si="49"/>
        <v>13</v>
      </c>
      <c r="T178" s="11">
        <f t="shared" si="50"/>
        <v>1</v>
      </c>
      <c r="U178" s="120" t="s">
        <v>80</v>
      </c>
      <c r="V178" s="120" t="s">
        <v>875</v>
      </c>
      <c r="W178" s="120" t="s">
        <v>859</v>
      </c>
      <c r="X178" s="120" t="s">
        <v>859</v>
      </c>
      <c r="Y178" s="120" t="s">
        <v>111</v>
      </c>
      <c r="Z178" s="120" t="s">
        <v>98</v>
      </c>
      <c r="AA178" s="120" t="s">
        <v>81</v>
      </c>
      <c r="AB178" s="120" t="s">
        <v>4</v>
      </c>
      <c r="AC178" s="120" t="s">
        <v>82</v>
      </c>
      <c r="AD178" s="120" t="s">
        <v>83</v>
      </c>
      <c r="AE178" s="120" t="s">
        <v>146</v>
      </c>
      <c r="AF178" s="120" t="s">
        <v>85</v>
      </c>
      <c r="AG178" s="133">
        <v>63000</v>
      </c>
      <c r="AH178" s="133">
        <v>63000</v>
      </c>
      <c r="AI178" s="133">
        <v>0</v>
      </c>
      <c r="AJ178" s="133">
        <v>0</v>
      </c>
      <c r="AK178" s="133">
        <v>37800</v>
      </c>
      <c r="AL178" s="120" t="s">
        <v>86</v>
      </c>
      <c r="AM178" s="120" t="s">
        <v>86</v>
      </c>
      <c r="AN178" s="120" t="s">
        <v>86</v>
      </c>
      <c r="AO178" s="120" t="s">
        <v>86</v>
      </c>
      <c r="AP178" s="120" t="s">
        <v>86</v>
      </c>
      <c r="AQ178" s="120" t="s">
        <v>876</v>
      </c>
      <c r="AR178" s="120" t="s">
        <v>877</v>
      </c>
      <c r="AS178" s="120" t="s">
        <v>89</v>
      </c>
      <c r="AT178" s="120" t="s">
        <v>89</v>
      </c>
      <c r="AU178" s="120" t="s">
        <v>116</v>
      </c>
      <c r="AV178" s="120" t="s">
        <v>21</v>
      </c>
      <c r="AW178" s="120" t="s">
        <v>92</v>
      </c>
      <c r="AX178" s="120" t="s">
        <v>103</v>
      </c>
      <c r="AY178" s="120">
        <v>0</v>
      </c>
      <c r="AZ178" s="120">
        <v>0</v>
      </c>
      <c r="BA178" s="120" t="s">
        <v>86</v>
      </c>
      <c r="BB178" s="134" t="s">
        <v>878</v>
      </c>
      <c r="BC178" s="120" t="s">
        <v>86</v>
      </c>
    </row>
    <row r="179" spans="1:55" ht="14.25" customHeight="1">
      <c r="A179" t="str">
        <f>IFERROR(VLOOKUP(AV179,Nómina!B:E,4,0),"")</f>
        <v>PAMELA CONSTANZA HUILITRARO QUEZADA</v>
      </c>
      <c r="B179" t="str">
        <f>IFERROR(VLOOKUP(A179,Nómina!E:F,2,0),"")</f>
        <v>18881513-8</v>
      </c>
      <c r="C179" s="30">
        <f t="shared" si="35"/>
        <v>22689</v>
      </c>
      <c r="D179" t="str">
        <f t="shared" si="36"/>
        <v>2026-07-14</v>
      </c>
      <c r="E179" t="str">
        <f t="shared" si="37"/>
        <v>ALIANZA</v>
      </c>
      <c r="F179" t="str">
        <f t="shared" si="38"/>
        <v>Masaje</v>
      </c>
      <c r="G179" t="str">
        <f t="shared" si="39"/>
        <v>Individual</v>
      </c>
      <c r="H179" t="str">
        <f t="shared" si="40"/>
        <v>60min</v>
      </c>
      <c r="I179" t="str">
        <f t="shared" si="41"/>
        <v>Relajante</v>
      </c>
      <c r="J179" t="str">
        <f t="shared" si="42"/>
        <v>CERRILLOS</v>
      </c>
      <c r="K179" t="str">
        <f t="shared" si="43"/>
        <v>Código Bigbox: KU57S96R</v>
      </c>
      <c r="L179">
        <f t="shared" si="44"/>
        <v>0</v>
      </c>
      <c r="M179">
        <f t="shared" si="45"/>
        <v>0</v>
      </c>
      <c r="N179" t="str">
        <f t="shared" si="46"/>
        <v/>
      </c>
      <c r="O179" s="10" t="str">
        <f>+VLOOKUP(Z179,listas!$B:$C,2,0)</f>
        <v>ALIANZA</v>
      </c>
      <c r="P179" s="11">
        <f t="shared" si="34"/>
        <v>45000</v>
      </c>
      <c r="Q179" s="11">
        <f t="shared" si="47"/>
        <v>22689</v>
      </c>
      <c r="R179" s="59">
        <f t="shared" si="48"/>
        <v>7</v>
      </c>
      <c r="S179" s="59">
        <f t="shared" si="49"/>
        <v>14</v>
      </c>
      <c r="T179" s="11">
        <f t="shared" si="50"/>
        <v>1</v>
      </c>
      <c r="U179" s="120" t="s">
        <v>80</v>
      </c>
      <c r="V179" s="120" t="s">
        <v>879</v>
      </c>
      <c r="W179" s="120" t="s">
        <v>859</v>
      </c>
      <c r="X179" s="120" t="s">
        <v>880</v>
      </c>
      <c r="Y179" s="120" t="s">
        <v>155</v>
      </c>
      <c r="Z179" s="120" t="s">
        <v>515</v>
      </c>
      <c r="AA179" s="120" t="s">
        <v>81</v>
      </c>
      <c r="AB179" s="120" t="s">
        <v>2</v>
      </c>
      <c r="AC179" s="120" t="s">
        <v>82</v>
      </c>
      <c r="AD179" s="120" t="s">
        <v>83</v>
      </c>
      <c r="AE179" s="120" t="s">
        <v>84</v>
      </c>
      <c r="AF179" s="120" t="s">
        <v>85</v>
      </c>
      <c r="AG179" s="133">
        <v>45000</v>
      </c>
      <c r="AH179" s="133">
        <v>45000</v>
      </c>
      <c r="AI179" s="133">
        <v>0</v>
      </c>
      <c r="AJ179" s="133">
        <v>0</v>
      </c>
      <c r="AK179" s="133">
        <v>27000</v>
      </c>
      <c r="AL179" s="120" t="s">
        <v>86</v>
      </c>
      <c r="AM179" s="120" t="s">
        <v>86</v>
      </c>
      <c r="AN179" s="120" t="s">
        <v>86</v>
      </c>
      <c r="AO179" s="120" t="s">
        <v>86</v>
      </c>
      <c r="AP179" s="120" t="s">
        <v>86</v>
      </c>
      <c r="AQ179" s="120" t="s">
        <v>881</v>
      </c>
      <c r="AR179" s="120" t="s">
        <v>882</v>
      </c>
      <c r="AS179" s="120" t="s">
        <v>708</v>
      </c>
      <c r="AT179" s="120" t="s">
        <v>708</v>
      </c>
      <c r="AU179" s="120" t="s">
        <v>91</v>
      </c>
      <c r="AV179" s="120" t="s">
        <v>20</v>
      </c>
      <c r="AW179" s="120" t="s">
        <v>92</v>
      </c>
      <c r="AX179" s="120" t="s">
        <v>883</v>
      </c>
      <c r="AY179" s="120">
        <v>0</v>
      </c>
      <c r="AZ179" s="120">
        <v>0</v>
      </c>
      <c r="BA179" s="120" t="s">
        <v>86</v>
      </c>
      <c r="BB179" s="134" t="s">
        <v>884</v>
      </c>
      <c r="BC179" s="120" t="s">
        <v>86</v>
      </c>
    </row>
    <row r="180" spans="1:55" ht="14.25" customHeight="1">
      <c r="A180" t="str">
        <f>IFERROR(VLOOKUP(AV180,Nómina!B:E,4,0),"")</f>
        <v>DANIELA ANTONIA ALARCON ELIZALDE</v>
      </c>
      <c r="B180" t="str">
        <f>IFERROR(VLOOKUP(A180,Nómina!E:F,2,0),"")</f>
        <v>15893769-7</v>
      </c>
      <c r="C180" s="30">
        <f t="shared" si="35"/>
        <v>47899</v>
      </c>
      <c r="D180" t="str">
        <f t="shared" si="36"/>
        <v>2026-07-14</v>
      </c>
      <c r="E180" t="str">
        <f t="shared" si="37"/>
        <v>B2C</v>
      </c>
      <c r="F180" t="str">
        <f t="shared" si="38"/>
        <v>Facial + Masaje</v>
      </c>
      <c r="G180" t="str">
        <f t="shared" si="39"/>
        <v>Individual</v>
      </c>
      <c r="H180" t="str">
        <f t="shared" si="40"/>
        <v>60min</v>
      </c>
      <c r="I180" t="str">
        <f t="shared" si="41"/>
        <v>Hidratación Profunda + Tejido profundo</v>
      </c>
      <c r="J180" t="str">
        <f t="shared" si="42"/>
        <v>SAN MIGUEL</v>
      </c>
      <c r="K180" t="str">
        <f t="shared" si="43"/>
        <v>Ninguno</v>
      </c>
      <c r="L180">
        <f t="shared" si="44"/>
        <v>0</v>
      </c>
      <c r="M180">
        <f t="shared" si="45"/>
        <v>0</v>
      </c>
      <c r="N180" t="str">
        <f t="shared" si="46"/>
        <v/>
      </c>
      <c r="O180" s="10" t="str">
        <f>+VLOOKUP(Z180,listas!$B:$C,2,0)</f>
        <v>B2C</v>
      </c>
      <c r="P180" s="11">
        <f t="shared" si="34"/>
        <v>95000</v>
      </c>
      <c r="Q180" s="11">
        <f t="shared" si="47"/>
        <v>47899</v>
      </c>
      <c r="R180" s="59">
        <f t="shared" si="48"/>
        <v>7</v>
      </c>
      <c r="S180" s="59">
        <f t="shared" si="49"/>
        <v>14</v>
      </c>
      <c r="T180" s="11">
        <f t="shared" si="50"/>
        <v>1</v>
      </c>
      <c r="U180" s="120" t="s">
        <v>80</v>
      </c>
      <c r="V180" s="120" t="s">
        <v>885</v>
      </c>
      <c r="W180" s="120" t="s">
        <v>788</v>
      </c>
      <c r="X180" s="120" t="s">
        <v>880</v>
      </c>
      <c r="Y180" s="120" t="s">
        <v>132</v>
      </c>
      <c r="Z180" s="120" t="s">
        <v>98</v>
      </c>
      <c r="AA180" s="120" t="s">
        <v>131</v>
      </c>
      <c r="AB180" s="120" t="s">
        <v>4</v>
      </c>
      <c r="AC180" s="120" t="s">
        <v>163</v>
      </c>
      <c r="AD180" s="120" t="s">
        <v>83</v>
      </c>
      <c r="AE180" s="120" t="s">
        <v>84</v>
      </c>
      <c r="AF180" s="120" t="s">
        <v>205</v>
      </c>
      <c r="AG180" s="133">
        <v>95000</v>
      </c>
      <c r="AH180" s="133">
        <v>85500</v>
      </c>
      <c r="AI180" s="133">
        <v>0</v>
      </c>
      <c r="AJ180" s="133">
        <v>9500</v>
      </c>
      <c r="AK180" s="133">
        <v>63000</v>
      </c>
      <c r="AL180" s="120" t="s">
        <v>886</v>
      </c>
      <c r="AM180" s="120" t="s">
        <v>86</v>
      </c>
      <c r="AN180" s="120" t="s">
        <v>86</v>
      </c>
      <c r="AO180" s="120" t="s">
        <v>86</v>
      </c>
      <c r="AP180" s="120" t="s">
        <v>86</v>
      </c>
      <c r="AQ180" s="120" t="s">
        <v>887</v>
      </c>
      <c r="AR180" s="120" t="s">
        <v>888</v>
      </c>
      <c r="AS180" s="120" t="s">
        <v>544</v>
      </c>
      <c r="AT180" s="120" t="s">
        <v>544</v>
      </c>
      <c r="AU180" s="120" t="s">
        <v>168</v>
      </c>
      <c r="AV180" s="120" t="s">
        <v>510</v>
      </c>
      <c r="AW180" s="120" t="s">
        <v>92</v>
      </c>
      <c r="AX180" s="120" t="s">
        <v>103</v>
      </c>
      <c r="AY180" s="120">
        <v>0</v>
      </c>
      <c r="AZ180" s="120">
        <v>0</v>
      </c>
      <c r="BA180" s="120" t="s">
        <v>86</v>
      </c>
      <c r="BB180" s="134" t="s">
        <v>889</v>
      </c>
      <c r="BC180" s="120" t="s">
        <v>86</v>
      </c>
    </row>
    <row r="181" spans="1:55" ht="14.25" customHeight="1">
      <c r="A181" t="str">
        <f>IFERROR(VLOOKUP(AV181,Nómina!B:E,4,0),"")</f>
        <v>PAMELA CONSTANZA HUILITRARO QUEZADA</v>
      </c>
      <c r="B181" t="str">
        <f>IFERROR(VLOOKUP(A181,Nómina!E:F,2,0),"")</f>
        <v>18881513-8</v>
      </c>
      <c r="C181" s="30">
        <f t="shared" si="35"/>
        <v>31765</v>
      </c>
      <c r="D181" t="str">
        <f t="shared" si="36"/>
        <v>2026-07-14</v>
      </c>
      <c r="E181" t="str">
        <f t="shared" si="37"/>
        <v>B2C</v>
      </c>
      <c r="F181" t="str">
        <f t="shared" si="38"/>
        <v>Masaje</v>
      </c>
      <c r="G181" t="str">
        <f t="shared" si="39"/>
        <v>Individual</v>
      </c>
      <c r="H181" t="str">
        <f t="shared" si="40"/>
        <v>90min</v>
      </c>
      <c r="I181" t="str">
        <f t="shared" si="41"/>
        <v>Relajante</v>
      </c>
      <c r="J181" t="str">
        <f t="shared" si="42"/>
        <v>ÑUÑOA</v>
      </c>
      <c r="K181" t="str">
        <f t="shared" si="43"/>
        <v>Ninguno</v>
      </c>
      <c r="L181">
        <f t="shared" si="44"/>
        <v>0</v>
      </c>
      <c r="M181">
        <f t="shared" si="45"/>
        <v>0</v>
      </c>
      <c r="N181" t="str">
        <f t="shared" si="46"/>
        <v/>
      </c>
      <c r="O181" s="10" t="str">
        <f>+VLOOKUP(Z181,listas!$B:$C,2,0)</f>
        <v>B2C</v>
      </c>
      <c r="P181" s="11">
        <f t="shared" si="34"/>
        <v>63000</v>
      </c>
      <c r="Q181" s="11">
        <f t="shared" si="47"/>
        <v>31765</v>
      </c>
      <c r="R181" s="59">
        <f t="shared" si="48"/>
        <v>7</v>
      </c>
      <c r="S181" s="59">
        <f t="shared" si="49"/>
        <v>14</v>
      </c>
      <c r="T181" s="11">
        <f t="shared" si="50"/>
        <v>1</v>
      </c>
      <c r="U181" s="120" t="s">
        <v>80</v>
      </c>
      <c r="V181" s="120" t="s">
        <v>890</v>
      </c>
      <c r="W181" s="120" t="s">
        <v>880</v>
      </c>
      <c r="X181" s="120" t="s">
        <v>880</v>
      </c>
      <c r="Y181" s="120" t="s">
        <v>149</v>
      </c>
      <c r="Z181" s="120" t="s">
        <v>98</v>
      </c>
      <c r="AA181" s="120" t="s">
        <v>99</v>
      </c>
      <c r="AB181" s="120" t="s">
        <v>4</v>
      </c>
      <c r="AC181" s="120" t="s">
        <v>82</v>
      </c>
      <c r="AD181" s="120" t="s">
        <v>83</v>
      </c>
      <c r="AE181" s="120" t="s">
        <v>146</v>
      </c>
      <c r="AF181" s="120" t="s">
        <v>85</v>
      </c>
      <c r="AG181" s="133">
        <v>63000</v>
      </c>
      <c r="AH181" s="133">
        <v>63000</v>
      </c>
      <c r="AI181" s="133">
        <v>0</v>
      </c>
      <c r="AJ181" s="133">
        <v>0</v>
      </c>
      <c r="AK181" s="133">
        <v>37800</v>
      </c>
      <c r="AL181" s="120" t="s">
        <v>86</v>
      </c>
      <c r="AM181" s="120" t="s">
        <v>86</v>
      </c>
      <c r="AN181" s="120" t="s">
        <v>86</v>
      </c>
      <c r="AO181" s="120" t="s">
        <v>86</v>
      </c>
      <c r="AP181" s="120" t="s">
        <v>86</v>
      </c>
      <c r="AQ181" s="120" t="s">
        <v>891</v>
      </c>
      <c r="AR181" s="120" t="s">
        <v>892</v>
      </c>
      <c r="AS181" s="120" t="s">
        <v>153</v>
      </c>
      <c r="AT181" s="120" t="s">
        <v>153</v>
      </c>
      <c r="AU181" s="120" t="s">
        <v>91</v>
      </c>
      <c r="AV181" s="120" t="s">
        <v>20</v>
      </c>
      <c r="AW181" s="120" t="s">
        <v>92</v>
      </c>
      <c r="AX181" s="120" t="s">
        <v>103</v>
      </c>
      <c r="AY181" s="120">
        <v>0</v>
      </c>
      <c r="AZ181" s="120">
        <v>0</v>
      </c>
      <c r="BA181" s="120" t="s">
        <v>86</v>
      </c>
      <c r="BB181" s="134" t="s">
        <v>893</v>
      </c>
      <c r="BC181" s="120" t="s">
        <v>86</v>
      </c>
    </row>
    <row r="182" spans="1:55" ht="14.25" customHeight="1">
      <c r="A182" t="str">
        <f>IFERROR(VLOOKUP(AV182,Nómina!B:E,4,0),"")</f>
        <v>PAMELA CONSTANZA HUILITRARO QUEZADA</v>
      </c>
      <c r="B182" t="str">
        <f>IFERROR(VLOOKUP(A182,Nómina!E:F,2,0),"")</f>
        <v>18881513-8</v>
      </c>
      <c r="C182" s="30">
        <f t="shared" si="35"/>
        <v>5042</v>
      </c>
      <c r="D182" t="str">
        <f t="shared" si="36"/>
        <v>2026-07-14</v>
      </c>
      <c r="E182" t="str">
        <f t="shared" si="37"/>
        <v>B2C</v>
      </c>
      <c r="F182" t="str">
        <f t="shared" si="38"/>
        <v>Addon</v>
      </c>
      <c r="G182" t="str">
        <f t="shared" si="39"/>
        <v>Individual</v>
      </c>
      <c r="H182" t="str">
        <f t="shared" si="40"/>
        <v>15min</v>
      </c>
      <c r="I182" t="str">
        <f t="shared" si="41"/>
        <v>Craneofacial</v>
      </c>
      <c r="J182" t="str">
        <f t="shared" si="42"/>
        <v>ÑUÑOA</v>
      </c>
      <c r="K182" t="str">
        <f t="shared" si="43"/>
        <v>Ninguno</v>
      </c>
      <c r="L182">
        <f t="shared" si="44"/>
        <v>0</v>
      </c>
      <c r="M182">
        <f t="shared" si="45"/>
        <v>0</v>
      </c>
      <c r="N182" t="str">
        <f t="shared" si="46"/>
        <v/>
      </c>
      <c r="O182" s="10" t="str">
        <f>+VLOOKUP(Z182,listas!$B:$C,2,0)</f>
        <v>B2C</v>
      </c>
      <c r="P182" s="11">
        <f t="shared" si="34"/>
        <v>10000</v>
      </c>
      <c r="Q182" s="11">
        <f t="shared" si="47"/>
        <v>5042</v>
      </c>
      <c r="R182" s="59">
        <f t="shared" si="48"/>
        <v>7</v>
      </c>
      <c r="S182" s="59">
        <f t="shared" si="49"/>
        <v>14</v>
      </c>
      <c r="T182" s="11">
        <f t="shared" si="50"/>
        <v>1</v>
      </c>
      <c r="U182" s="135" t="s">
        <v>80</v>
      </c>
      <c r="V182" s="135" t="s">
        <v>890</v>
      </c>
      <c r="W182" s="135" t="s">
        <v>880</v>
      </c>
      <c r="X182" s="135" t="s">
        <v>880</v>
      </c>
      <c r="Y182" s="135" t="s">
        <v>149</v>
      </c>
      <c r="Z182" s="135" t="s">
        <v>98</v>
      </c>
      <c r="AA182" s="135" t="s">
        <v>99</v>
      </c>
      <c r="AB182" s="135" t="s">
        <v>4</v>
      </c>
      <c r="AC182" s="135" t="s">
        <v>93</v>
      </c>
      <c r="AD182" s="135" t="s">
        <v>83</v>
      </c>
      <c r="AE182" s="135" t="s">
        <v>94</v>
      </c>
      <c r="AF182" s="135" t="s">
        <v>96</v>
      </c>
      <c r="AG182" s="136">
        <v>10000</v>
      </c>
      <c r="AH182" s="136">
        <v>10000</v>
      </c>
      <c r="AI182" s="136">
        <v>0</v>
      </c>
      <c r="AJ182" s="136">
        <v>0</v>
      </c>
      <c r="AK182" s="136">
        <v>6000</v>
      </c>
      <c r="AL182" s="135" t="s">
        <v>86</v>
      </c>
      <c r="AM182" s="135" t="s">
        <v>86</v>
      </c>
      <c r="AN182" s="135" t="s">
        <v>86</v>
      </c>
      <c r="AO182" s="135" t="s">
        <v>86</v>
      </c>
      <c r="AP182" s="135" t="s">
        <v>86</v>
      </c>
      <c r="AQ182" s="135" t="s">
        <v>891</v>
      </c>
      <c r="AR182" s="135" t="s">
        <v>892</v>
      </c>
      <c r="AS182" s="135" t="s">
        <v>153</v>
      </c>
      <c r="AT182" s="135" t="s">
        <v>153</v>
      </c>
      <c r="AU182" s="135" t="s">
        <v>91</v>
      </c>
      <c r="AV182" s="135" t="s">
        <v>20</v>
      </c>
      <c r="AW182" s="135" t="s">
        <v>92</v>
      </c>
      <c r="AX182" s="135" t="s">
        <v>103</v>
      </c>
      <c r="AY182" s="135">
        <v>0</v>
      </c>
      <c r="AZ182" s="135">
        <v>0</v>
      </c>
      <c r="BA182" s="135" t="s">
        <v>86</v>
      </c>
      <c r="BB182" s="137" t="s">
        <v>893</v>
      </c>
      <c r="BC182" s="135" t="s">
        <v>86</v>
      </c>
    </row>
    <row r="183" spans="1:55" ht="14.25" customHeight="1">
      <c r="A183" t="str">
        <f>IFERROR(VLOOKUP(AV183,Nómina!B:E,4,0),"")</f>
        <v>PAMELA CONSTANZA HUILITRARO QUEZADA</v>
      </c>
      <c r="B183" t="str">
        <f>IFERROR(VLOOKUP(A183,Nómina!E:F,2,0),"")</f>
        <v>18881513-8</v>
      </c>
      <c r="C183" s="30">
        <f t="shared" si="35"/>
        <v>5042</v>
      </c>
      <c r="D183" t="str">
        <f t="shared" si="36"/>
        <v>2026-07-14</v>
      </c>
      <c r="E183" t="str">
        <f t="shared" si="37"/>
        <v>B2C</v>
      </c>
      <c r="F183" t="str">
        <f t="shared" si="38"/>
        <v>Addon</v>
      </c>
      <c r="G183" t="str">
        <f t="shared" si="39"/>
        <v>Individual</v>
      </c>
      <c r="H183" t="str">
        <f t="shared" si="40"/>
        <v>15min</v>
      </c>
      <c r="I183" t="str">
        <f t="shared" si="41"/>
        <v>Reflexología</v>
      </c>
      <c r="J183" t="str">
        <f t="shared" si="42"/>
        <v>ÑUÑOA</v>
      </c>
      <c r="K183" t="str">
        <f t="shared" si="43"/>
        <v>Ninguno</v>
      </c>
      <c r="L183">
        <f t="shared" si="44"/>
        <v>0</v>
      </c>
      <c r="M183">
        <f t="shared" si="45"/>
        <v>0</v>
      </c>
      <c r="N183" t="str">
        <f t="shared" si="46"/>
        <v/>
      </c>
      <c r="O183" s="10" t="str">
        <f>+VLOOKUP(Z183,listas!$B:$C,2,0)</f>
        <v>B2C</v>
      </c>
      <c r="P183" s="11">
        <f t="shared" si="34"/>
        <v>10000</v>
      </c>
      <c r="Q183" s="11">
        <f t="shared" si="47"/>
        <v>5042</v>
      </c>
      <c r="R183" s="59">
        <f t="shared" si="48"/>
        <v>7</v>
      </c>
      <c r="S183" s="59">
        <f t="shared" si="49"/>
        <v>14</v>
      </c>
      <c r="T183" s="11">
        <f t="shared" si="50"/>
        <v>1</v>
      </c>
      <c r="U183" s="135" t="s">
        <v>80</v>
      </c>
      <c r="V183" s="135" t="s">
        <v>890</v>
      </c>
      <c r="W183" s="135" t="s">
        <v>880</v>
      </c>
      <c r="X183" s="135" t="s">
        <v>880</v>
      </c>
      <c r="Y183" s="135" t="s">
        <v>149</v>
      </c>
      <c r="Z183" s="135" t="s">
        <v>98</v>
      </c>
      <c r="AA183" s="135" t="s">
        <v>99</v>
      </c>
      <c r="AB183" s="135" t="s">
        <v>4</v>
      </c>
      <c r="AC183" s="135" t="s">
        <v>93</v>
      </c>
      <c r="AD183" s="135" t="s">
        <v>83</v>
      </c>
      <c r="AE183" s="135" t="s">
        <v>94</v>
      </c>
      <c r="AF183" s="135" t="s">
        <v>95</v>
      </c>
      <c r="AG183" s="136">
        <v>10000</v>
      </c>
      <c r="AH183" s="136">
        <v>10000</v>
      </c>
      <c r="AI183" s="136">
        <v>0</v>
      </c>
      <c r="AJ183" s="136">
        <v>0</v>
      </c>
      <c r="AK183" s="136">
        <v>6000</v>
      </c>
      <c r="AL183" s="135" t="s">
        <v>86</v>
      </c>
      <c r="AM183" s="135" t="s">
        <v>86</v>
      </c>
      <c r="AN183" s="135" t="s">
        <v>86</v>
      </c>
      <c r="AO183" s="135" t="s">
        <v>86</v>
      </c>
      <c r="AP183" s="135" t="s">
        <v>86</v>
      </c>
      <c r="AQ183" s="135" t="s">
        <v>891</v>
      </c>
      <c r="AR183" s="135" t="s">
        <v>892</v>
      </c>
      <c r="AS183" s="135" t="s">
        <v>153</v>
      </c>
      <c r="AT183" s="135" t="s">
        <v>153</v>
      </c>
      <c r="AU183" s="135" t="s">
        <v>91</v>
      </c>
      <c r="AV183" s="135" t="s">
        <v>20</v>
      </c>
      <c r="AW183" s="135" t="s">
        <v>92</v>
      </c>
      <c r="AX183" s="135" t="s">
        <v>103</v>
      </c>
      <c r="AY183" s="135">
        <v>0</v>
      </c>
      <c r="AZ183" s="135">
        <v>0</v>
      </c>
      <c r="BA183" s="135" t="s">
        <v>86</v>
      </c>
      <c r="BB183" s="137" t="s">
        <v>893</v>
      </c>
      <c r="BC183" s="135" t="s">
        <v>86</v>
      </c>
    </row>
    <row r="184" spans="1:55" ht="14.25" customHeight="1">
      <c r="A184" t="str">
        <f>IFERROR(VLOOKUP(AV184,Nómina!B:E,4,0),"")</f>
        <v>WENDY CAROLINA MENDEZ AVENDAÑO</v>
      </c>
      <c r="B184" t="str">
        <f>IFERROR(VLOOKUP(A184,Nómina!E:F,2,0),"")</f>
        <v>26330714-3</v>
      </c>
      <c r="C184" s="30">
        <f t="shared" si="35"/>
        <v>22689</v>
      </c>
      <c r="D184" t="str">
        <f t="shared" si="36"/>
        <v>2026-07-14</v>
      </c>
      <c r="E184" t="str">
        <f t="shared" si="37"/>
        <v>B2C</v>
      </c>
      <c r="F184" t="str">
        <f t="shared" si="38"/>
        <v>Masaje</v>
      </c>
      <c r="G184" t="str">
        <f t="shared" si="39"/>
        <v>Individual</v>
      </c>
      <c r="H184" t="str">
        <f t="shared" si="40"/>
        <v>60min</v>
      </c>
      <c r="I184" t="str">
        <f t="shared" si="41"/>
        <v>Relajante</v>
      </c>
      <c r="J184" t="str">
        <f t="shared" si="42"/>
        <v>VITACURA</v>
      </c>
      <c r="K184" t="str">
        <f t="shared" si="43"/>
        <v>Ninguno</v>
      </c>
      <c r="L184">
        <f t="shared" si="44"/>
        <v>0</v>
      </c>
      <c r="M184">
        <f t="shared" si="45"/>
        <v>0</v>
      </c>
      <c r="N184" t="str">
        <f t="shared" si="46"/>
        <v/>
      </c>
      <c r="O184" s="10" t="str">
        <f>+VLOOKUP(Z184,listas!$B:$C,2,0)</f>
        <v>B2C</v>
      </c>
      <c r="P184" s="11">
        <f t="shared" si="34"/>
        <v>45000</v>
      </c>
      <c r="Q184" s="11">
        <f t="shared" si="47"/>
        <v>22689</v>
      </c>
      <c r="R184" s="59">
        <f t="shared" si="48"/>
        <v>7</v>
      </c>
      <c r="S184" s="59">
        <f t="shared" si="49"/>
        <v>14</v>
      </c>
      <c r="T184" s="11">
        <f t="shared" si="50"/>
        <v>1</v>
      </c>
      <c r="U184" s="120" t="s">
        <v>80</v>
      </c>
      <c r="V184" s="120" t="s">
        <v>894</v>
      </c>
      <c r="W184" s="120" t="s">
        <v>814</v>
      </c>
      <c r="X184" s="120" t="s">
        <v>880</v>
      </c>
      <c r="Y184" s="120" t="s">
        <v>142</v>
      </c>
      <c r="Z184" s="120" t="s">
        <v>164</v>
      </c>
      <c r="AA184" s="120" t="s">
        <v>99</v>
      </c>
      <c r="AB184" s="120" t="s">
        <v>4</v>
      </c>
      <c r="AC184" s="120" t="s">
        <v>82</v>
      </c>
      <c r="AD184" s="120" t="s">
        <v>83</v>
      </c>
      <c r="AE184" s="120" t="s">
        <v>84</v>
      </c>
      <c r="AF184" s="120" t="s">
        <v>85</v>
      </c>
      <c r="AG184" s="133">
        <v>45000</v>
      </c>
      <c r="AH184" s="133">
        <v>40000</v>
      </c>
      <c r="AI184" s="133">
        <v>5000</v>
      </c>
      <c r="AJ184" s="133">
        <v>0</v>
      </c>
      <c r="AK184" s="133">
        <v>27000</v>
      </c>
      <c r="AL184" s="120" t="s">
        <v>86</v>
      </c>
      <c r="AM184" s="120" t="s">
        <v>86</v>
      </c>
      <c r="AN184" s="120" t="s">
        <v>86</v>
      </c>
      <c r="AO184" s="120" t="s">
        <v>86</v>
      </c>
      <c r="AP184" s="120" t="s">
        <v>86</v>
      </c>
      <c r="AQ184" s="120" t="s">
        <v>895</v>
      </c>
      <c r="AR184" s="120" t="s">
        <v>896</v>
      </c>
      <c r="AS184" s="120" t="s">
        <v>115</v>
      </c>
      <c r="AT184" s="120" t="s">
        <v>115</v>
      </c>
      <c r="AU184" s="120" t="s">
        <v>112</v>
      </c>
      <c r="AV184" s="120" t="s">
        <v>445</v>
      </c>
      <c r="AW184" s="120" t="s">
        <v>92</v>
      </c>
      <c r="AX184" s="120" t="s">
        <v>103</v>
      </c>
      <c r="AY184" s="120">
        <v>0</v>
      </c>
      <c r="AZ184" s="120">
        <v>0</v>
      </c>
      <c r="BA184" s="120" t="s">
        <v>86</v>
      </c>
      <c r="BB184" s="134" t="s">
        <v>897</v>
      </c>
      <c r="BC184" s="120" t="s">
        <v>86</v>
      </c>
    </row>
    <row r="185" spans="1:55" ht="14.25" customHeight="1">
      <c r="A185" t="str">
        <f>IFERROR(VLOOKUP(AV185,Nómina!B:E,4,0),"")</f>
        <v>SERGIO RODRÍGUEZ</v>
      </c>
      <c r="B185" t="str">
        <f>IFERROR(VLOOKUP(A185,Nómina!E:F,2,0),"")</f>
        <v>27988098-6</v>
      </c>
      <c r="C185" s="30">
        <f t="shared" si="35"/>
        <v>22689</v>
      </c>
      <c r="D185" t="str">
        <f t="shared" si="36"/>
        <v>2026-07-14</v>
      </c>
      <c r="E185" t="str">
        <f t="shared" si="37"/>
        <v>HOTEL</v>
      </c>
      <c r="F185" t="str">
        <f t="shared" si="38"/>
        <v>Masaje</v>
      </c>
      <c r="G185" t="str">
        <f t="shared" si="39"/>
        <v>Individual</v>
      </c>
      <c r="H185" t="str">
        <f t="shared" si="40"/>
        <v>60min</v>
      </c>
      <c r="I185" t="str">
        <f t="shared" si="41"/>
        <v>Tejido profundo</v>
      </c>
      <c r="J185" t="str">
        <f t="shared" si="42"/>
        <v>LAS CONDES</v>
      </c>
      <c r="K185" t="str">
        <f t="shared" si="43"/>
        <v>huésped: Paulo Luviseti. Hab: 804. Solicita: Cinthia.</v>
      </c>
      <c r="L185">
        <f t="shared" si="44"/>
        <v>0</v>
      </c>
      <c r="M185">
        <f t="shared" si="45"/>
        <v>0</v>
      </c>
      <c r="N185" t="str">
        <f t="shared" si="46"/>
        <v/>
      </c>
      <c r="O185" s="10" t="str">
        <f>+VLOOKUP(Z185,listas!$B:$C,2,0)</f>
        <v>HOTEL</v>
      </c>
      <c r="P185" s="11">
        <f t="shared" si="34"/>
        <v>45000</v>
      </c>
      <c r="Q185" s="11">
        <f t="shared" si="47"/>
        <v>22689</v>
      </c>
      <c r="R185" s="59">
        <f t="shared" si="48"/>
        <v>7</v>
      </c>
      <c r="S185" s="59">
        <f t="shared" si="49"/>
        <v>14</v>
      </c>
      <c r="T185" s="11">
        <f t="shared" si="50"/>
        <v>1</v>
      </c>
      <c r="U185" s="120" t="s">
        <v>80</v>
      </c>
      <c r="V185" s="120" t="s">
        <v>898</v>
      </c>
      <c r="W185" s="120" t="s">
        <v>880</v>
      </c>
      <c r="X185" s="120" t="s">
        <v>880</v>
      </c>
      <c r="Y185" s="120" t="s">
        <v>142</v>
      </c>
      <c r="Z185" s="120" t="s">
        <v>5</v>
      </c>
      <c r="AA185" s="120" t="s">
        <v>81</v>
      </c>
      <c r="AB185" s="120" t="s">
        <v>5</v>
      </c>
      <c r="AC185" s="120" t="s">
        <v>82</v>
      </c>
      <c r="AD185" s="120" t="s">
        <v>83</v>
      </c>
      <c r="AE185" s="120" t="s">
        <v>84</v>
      </c>
      <c r="AF185" s="120" t="s">
        <v>123</v>
      </c>
      <c r="AG185" s="133">
        <v>45000</v>
      </c>
      <c r="AH185" s="133">
        <v>45000</v>
      </c>
      <c r="AI185" s="133">
        <v>0</v>
      </c>
      <c r="AJ185" s="133">
        <v>0</v>
      </c>
      <c r="AK185" s="133">
        <v>27000</v>
      </c>
      <c r="AL185" s="120" t="s">
        <v>86</v>
      </c>
      <c r="AM185" s="120" t="s">
        <v>86</v>
      </c>
      <c r="AN185" s="120" t="s">
        <v>86</v>
      </c>
      <c r="AO185" s="120" t="s">
        <v>86</v>
      </c>
      <c r="AP185" s="120" t="s">
        <v>86</v>
      </c>
      <c r="AQ185" s="120" t="s">
        <v>899</v>
      </c>
      <c r="AR185" s="120" t="s">
        <v>900</v>
      </c>
      <c r="AS185" s="120" t="s">
        <v>89</v>
      </c>
      <c r="AT185" s="120" t="s">
        <v>89</v>
      </c>
      <c r="AU185" s="120" t="s">
        <v>315</v>
      </c>
      <c r="AV185" s="120" t="s">
        <v>316</v>
      </c>
      <c r="AW185" s="120" t="s">
        <v>92</v>
      </c>
      <c r="AX185" s="120" t="s">
        <v>901</v>
      </c>
      <c r="AY185" s="120">
        <v>0</v>
      </c>
      <c r="AZ185" s="120">
        <v>0</v>
      </c>
      <c r="BA185" s="120" t="s">
        <v>86</v>
      </c>
      <c r="BB185" s="134" t="s">
        <v>902</v>
      </c>
      <c r="BC185" s="120" t="s">
        <v>86</v>
      </c>
    </row>
    <row r="186" spans="1:55" ht="14.25" customHeight="1">
      <c r="A186" t="str">
        <f>IFERROR(VLOOKUP(AV186,Nómina!B:E,4,0),"")</f>
        <v>GENESIS DANIELA PIMENTEL HERRERA</v>
      </c>
      <c r="B186" t="str">
        <f>IFERROR(VLOOKUP(A186,Nómina!E:F,2,0),"")</f>
        <v>26598096-1</v>
      </c>
      <c r="C186" s="30">
        <f t="shared" si="35"/>
        <v>22689</v>
      </c>
      <c r="D186" t="str">
        <f t="shared" si="36"/>
        <v>2026-07-14</v>
      </c>
      <c r="E186" t="str">
        <f t="shared" si="37"/>
        <v>B2C</v>
      </c>
      <c r="F186" t="str">
        <f t="shared" si="38"/>
        <v>Masaje</v>
      </c>
      <c r="G186" t="str">
        <f t="shared" si="39"/>
        <v>Individual</v>
      </c>
      <c r="H186" t="str">
        <f t="shared" si="40"/>
        <v>60min</v>
      </c>
      <c r="I186" t="str">
        <f t="shared" si="41"/>
        <v>Tejido profundo</v>
      </c>
      <c r="J186" t="str">
        <f t="shared" si="42"/>
        <v>ÑUÑOA</v>
      </c>
      <c r="K186" t="str">
        <f t="shared" si="43"/>
        <v>Ninguno</v>
      </c>
      <c r="L186">
        <f t="shared" si="44"/>
        <v>0</v>
      </c>
      <c r="M186">
        <f t="shared" si="45"/>
        <v>0</v>
      </c>
      <c r="N186" t="str">
        <f t="shared" si="46"/>
        <v/>
      </c>
      <c r="O186" s="10" t="str">
        <f>+VLOOKUP(Z186,listas!$B:$C,2,0)</f>
        <v>B2C</v>
      </c>
      <c r="P186" s="11">
        <f t="shared" si="34"/>
        <v>45000</v>
      </c>
      <c r="Q186" s="11">
        <f t="shared" si="47"/>
        <v>22689</v>
      </c>
      <c r="R186" s="59">
        <f t="shared" si="48"/>
        <v>7</v>
      </c>
      <c r="S186" s="59">
        <f t="shared" si="49"/>
        <v>14</v>
      </c>
      <c r="T186" s="11">
        <f t="shared" si="50"/>
        <v>1</v>
      </c>
      <c r="U186" s="120" t="s">
        <v>80</v>
      </c>
      <c r="V186" s="120" t="s">
        <v>903</v>
      </c>
      <c r="W186" s="120" t="s">
        <v>880</v>
      </c>
      <c r="X186" s="120" t="s">
        <v>880</v>
      </c>
      <c r="Y186" s="120" t="s">
        <v>159</v>
      </c>
      <c r="Z186" s="120" t="s">
        <v>98</v>
      </c>
      <c r="AA186" s="120" t="s">
        <v>99</v>
      </c>
      <c r="AB186" s="120" t="s">
        <v>4</v>
      </c>
      <c r="AC186" s="120" t="s">
        <v>82</v>
      </c>
      <c r="AD186" s="120" t="s">
        <v>83</v>
      </c>
      <c r="AE186" s="120" t="s">
        <v>84</v>
      </c>
      <c r="AF186" s="120" t="s">
        <v>123</v>
      </c>
      <c r="AG186" s="133">
        <v>45000</v>
      </c>
      <c r="AH186" s="133">
        <v>45000</v>
      </c>
      <c r="AI186" s="133">
        <v>0</v>
      </c>
      <c r="AJ186" s="133">
        <v>0</v>
      </c>
      <c r="AK186" s="133">
        <v>27000</v>
      </c>
      <c r="AL186" s="120" t="s">
        <v>86</v>
      </c>
      <c r="AM186" s="120" t="s">
        <v>86</v>
      </c>
      <c r="AN186" s="120" t="s">
        <v>86</v>
      </c>
      <c r="AO186" s="120" t="s">
        <v>86</v>
      </c>
      <c r="AP186" s="120" t="s">
        <v>86</v>
      </c>
      <c r="AQ186" s="120" t="s">
        <v>904</v>
      </c>
      <c r="AR186" s="120" t="s">
        <v>905</v>
      </c>
      <c r="AS186" s="120" t="s">
        <v>153</v>
      </c>
      <c r="AT186" s="120" t="s">
        <v>153</v>
      </c>
      <c r="AU186" s="120" t="s">
        <v>141</v>
      </c>
      <c r="AV186" s="120" t="s">
        <v>552</v>
      </c>
      <c r="AW186" s="120" t="s">
        <v>92</v>
      </c>
      <c r="AX186" s="120" t="s">
        <v>103</v>
      </c>
      <c r="AY186" s="120">
        <v>0</v>
      </c>
      <c r="AZ186" s="120">
        <v>0</v>
      </c>
      <c r="BA186" s="120" t="s">
        <v>86</v>
      </c>
      <c r="BB186" s="134" t="s">
        <v>906</v>
      </c>
      <c r="BC186" s="120" t="s">
        <v>86</v>
      </c>
    </row>
    <row r="187" spans="1:55" ht="15" customHeight="1">
      <c r="A187" t="str">
        <f>IFERROR(VLOOKUP(AV187,Nómina!B:E,4,0),"")</f>
        <v>GENESIS DANIELA PIMENTEL HERRERA</v>
      </c>
      <c r="B187" t="str">
        <f>IFERROR(VLOOKUP(A187,Nómina!E:F,2,0),"")</f>
        <v>26598096-1</v>
      </c>
      <c r="C187" s="30">
        <f t="shared" ref="C187:C201" si="51">IFERROR(Q187,"")</f>
        <v>10084</v>
      </c>
      <c r="D187" t="str">
        <f t="shared" ref="D187:D201" si="52">IFERROR(X187,"")</f>
        <v>2026-07-14</v>
      </c>
      <c r="E187" t="str">
        <f t="shared" ref="E187:E201" si="53">IFERROR(O187,"")</f>
        <v>B2C</v>
      </c>
      <c r="F187" t="str">
        <f t="shared" ref="F187:F201" si="54">IFERROR(AC187,"")</f>
        <v>Addon</v>
      </c>
      <c r="G187" t="str">
        <f t="shared" ref="G187:G201" si="55">IFERROR(AD187,"")</f>
        <v>Individual</v>
      </c>
      <c r="H187" t="str">
        <f t="shared" ref="H187:H201" si="56">IFERROR(AE187,"")</f>
        <v>30min</v>
      </c>
      <c r="I187" t="str">
        <f t="shared" ref="I187:I201" si="57">IFERROR(AF187,"")</f>
        <v>Drenaje Linfático</v>
      </c>
      <c r="J187" t="str">
        <f t="shared" ref="J187:J201" si="58">IFERROR(AT187,"")</f>
        <v>ÑUÑOA</v>
      </c>
      <c r="K187" t="str">
        <f t="shared" ref="K187:K201" si="59">IFERROR(AX187,"")</f>
        <v>Ninguno</v>
      </c>
      <c r="L187">
        <f t="shared" ref="L187:L201" si="60">IFERROR(AY187,"")</f>
        <v>0</v>
      </c>
      <c r="M187">
        <f t="shared" ref="M187:M201" si="61">IFERROR(AZ187,"")</f>
        <v>0</v>
      </c>
      <c r="N187" t="str">
        <f t="shared" ref="N187:N201" si="62">IFERROR(BA187,"")</f>
        <v/>
      </c>
      <c r="O187" s="10" t="str">
        <f>+VLOOKUP(Z187,listas!$B:$C,2,0)</f>
        <v>B2C</v>
      </c>
      <c r="P187" s="11">
        <f t="shared" ref="P187:P201" si="63">AG187</f>
        <v>20000</v>
      </c>
      <c r="Q187" s="11">
        <f t="shared" si="47"/>
        <v>10084</v>
      </c>
      <c r="R187" s="59">
        <f t="shared" ref="R187:R201" si="64">MONTH(X187)</f>
        <v>7</v>
      </c>
      <c r="S187" s="59">
        <f t="shared" ref="S187:S201" si="65">DAY(X187)</f>
        <v>14</v>
      </c>
      <c r="T187" s="11">
        <f t="shared" ref="T187:T201" si="66">IF(S187&gt;15,2,1)</f>
        <v>1</v>
      </c>
      <c r="U187" s="135" t="s">
        <v>80</v>
      </c>
      <c r="V187" s="135" t="s">
        <v>903</v>
      </c>
      <c r="W187" s="135" t="s">
        <v>880</v>
      </c>
      <c r="X187" s="135" t="s">
        <v>880</v>
      </c>
      <c r="Y187" s="135" t="s">
        <v>159</v>
      </c>
      <c r="Z187" s="135" t="s">
        <v>98</v>
      </c>
      <c r="AA187" s="135" t="s">
        <v>99</v>
      </c>
      <c r="AB187" s="135" t="s">
        <v>4</v>
      </c>
      <c r="AC187" s="135" t="s">
        <v>93</v>
      </c>
      <c r="AD187" s="135" t="s">
        <v>83</v>
      </c>
      <c r="AE187" s="135" t="s">
        <v>126</v>
      </c>
      <c r="AF187" s="135" t="s">
        <v>129</v>
      </c>
      <c r="AG187" s="136">
        <v>20000</v>
      </c>
      <c r="AH187" s="136">
        <v>20000</v>
      </c>
      <c r="AI187" s="136">
        <v>0</v>
      </c>
      <c r="AJ187" s="136">
        <v>0</v>
      </c>
      <c r="AK187" s="136">
        <v>9720</v>
      </c>
      <c r="AL187" s="135" t="s">
        <v>86</v>
      </c>
      <c r="AM187" s="135" t="s">
        <v>86</v>
      </c>
      <c r="AN187" s="135" t="s">
        <v>86</v>
      </c>
      <c r="AO187" s="135" t="s">
        <v>86</v>
      </c>
      <c r="AP187" s="135" t="s">
        <v>86</v>
      </c>
      <c r="AQ187" s="135" t="s">
        <v>904</v>
      </c>
      <c r="AR187" s="135" t="s">
        <v>905</v>
      </c>
      <c r="AS187" s="135" t="s">
        <v>153</v>
      </c>
      <c r="AT187" s="135" t="s">
        <v>153</v>
      </c>
      <c r="AU187" s="135" t="s">
        <v>141</v>
      </c>
      <c r="AV187" s="135" t="s">
        <v>552</v>
      </c>
      <c r="AW187" s="135" t="s">
        <v>92</v>
      </c>
      <c r="AX187" s="135" t="s">
        <v>103</v>
      </c>
      <c r="AY187" s="135">
        <v>0</v>
      </c>
      <c r="AZ187" s="135">
        <v>0</v>
      </c>
      <c r="BA187" s="135" t="s">
        <v>86</v>
      </c>
      <c r="BB187" s="137" t="s">
        <v>906</v>
      </c>
      <c r="BC187" s="135" t="s">
        <v>86</v>
      </c>
    </row>
    <row r="188" spans="1:55" ht="15" customHeight="1">
      <c r="A188" t="str">
        <f>IFERROR(VLOOKUP(AV188,Nómina!B:E,4,0),"")</f>
        <v>WENDY CAROLINA MENDEZ AVENDAÑO</v>
      </c>
      <c r="B188" t="str">
        <f>IFERROR(VLOOKUP(A188,Nómina!E:F,2,0),"")</f>
        <v>26330714-3</v>
      </c>
      <c r="C188" s="30">
        <f t="shared" si="51"/>
        <v>38319</v>
      </c>
      <c r="D188" t="str">
        <f t="shared" si="52"/>
        <v>2026-07-14</v>
      </c>
      <c r="E188" t="str">
        <f t="shared" si="53"/>
        <v>B2C</v>
      </c>
      <c r="F188" t="str">
        <f t="shared" si="54"/>
        <v>Masaje</v>
      </c>
      <c r="G188" t="str">
        <f t="shared" si="55"/>
        <v>Pareja</v>
      </c>
      <c r="H188" t="str">
        <f t="shared" si="56"/>
        <v>120min</v>
      </c>
      <c r="I188" t="str">
        <f t="shared" si="57"/>
        <v>Relajante</v>
      </c>
      <c r="J188" t="str">
        <f t="shared" si="58"/>
        <v>PROVIDENCIA</v>
      </c>
      <c r="K188" t="str">
        <f t="shared" si="59"/>
        <v>Ninguno</v>
      </c>
      <c r="L188">
        <f t="shared" si="60"/>
        <v>0</v>
      </c>
      <c r="M188">
        <f t="shared" si="61"/>
        <v>0</v>
      </c>
      <c r="N188" t="str">
        <f t="shared" si="62"/>
        <v/>
      </c>
      <c r="O188" s="10" t="str">
        <f>+VLOOKUP(Z188,listas!$B:$C,2,0)</f>
        <v>B2C</v>
      </c>
      <c r="P188" s="11">
        <f t="shared" si="63"/>
        <v>76000</v>
      </c>
      <c r="Q188" s="11">
        <f t="shared" si="47"/>
        <v>38319</v>
      </c>
      <c r="R188" s="59">
        <f t="shared" si="64"/>
        <v>7</v>
      </c>
      <c r="S188" s="59">
        <f t="shared" si="65"/>
        <v>14</v>
      </c>
      <c r="T188" s="11">
        <f t="shared" si="66"/>
        <v>1</v>
      </c>
      <c r="U188" s="120" t="s">
        <v>80</v>
      </c>
      <c r="V188" s="120" t="s">
        <v>907</v>
      </c>
      <c r="W188" s="120" t="s">
        <v>880</v>
      </c>
      <c r="X188" s="120" t="s">
        <v>880</v>
      </c>
      <c r="Y188" s="120" t="s">
        <v>130</v>
      </c>
      <c r="Z188" s="120" t="s">
        <v>98</v>
      </c>
      <c r="AA188" s="120" t="s">
        <v>99</v>
      </c>
      <c r="AB188" s="120" t="s">
        <v>4</v>
      </c>
      <c r="AC188" s="120" t="s">
        <v>82</v>
      </c>
      <c r="AD188" s="120" t="s">
        <v>119</v>
      </c>
      <c r="AE188" s="120" t="s">
        <v>120</v>
      </c>
      <c r="AF188" s="120" t="s">
        <v>85</v>
      </c>
      <c r="AG188" s="133">
        <v>76000</v>
      </c>
      <c r="AH188" s="133">
        <v>68400</v>
      </c>
      <c r="AI188" s="133">
        <v>0</v>
      </c>
      <c r="AJ188" s="133">
        <v>7600</v>
      </c>
      <c r="AK188" s="133">
        <v>45600</v>
      </c>
      <c r="AL188" s="120" t="s">
        <v>535</v>
      </c>
      <c r="AM188" s="120" t="s">
        <v>86</v>
      </c>
      <c r="AN188" s="120" t="s">
        <v>86</v>
      </c>
      <c r="AO188" s="120" t="s">
        <v>86</v>
      </c>
      <c r="AP188" s="120" t="s">
        <v>86</v>
      </c>
      <c r="AQ188" s="120" t="s">
        <v>908</v>
      </c>
      <c r="AR188" s="120" t="s">
        <v>909</v>
      </c>
      <c r="AS188" s="120" t="s">
        <v>143</v>
      </c>
      <c r="AT188" s="120" t="s">
        <v>143</v>
      </c>
      <c r="AU188" s="120" t="s">
        <v>112</v>
      </c>
      <c r="AV188" s="120" t="s">
        <v>445</v>
      </c>
      <c r="AW188" s="120" t="s">
        <v>92</v>
      </c>
      <c r="AX188" s="120" t="s">
        <v>103</v>
      </c>
      <c r="AY188" s="120">
        <v>0</v>
      </c>
      <c r="AZ188" s="120">
        <v>0</v>
      </c>
      <c r="BA188" s="120" t="s">
        <v>86</v>
      </c>
      <c r="BB188" s="134" t="s">
        <v>910</v>
      </c>
      <c r="BC188" s="120" t="s">
        <v>86</v>
      </c>
    </row>
    <row r="189" spans="1:55" ht="15" customHeight="1">
      <c r="A189" t="str">
        <f>IFERROR(VLOOKUP(AV189,Nómina!B:E,4,0),"")</f>
        <v>CLAUDIA ALEJANDRA GUZMAN RIGORDI</v>
      </c>
      <c r="B189" t="str">
        <f>IFERROR(VLOOKUP(A189,Nómina!E:F,2,0),"")</f>
        <v>15353076-9</v>
      </c>
      <c r="C189" s="30">
        <f t="shared" si="51"/>
        <v>38319</v>
      </c>
      <c r="D189" t="str">
        <f t="shared" si="52"/>
        <v>2026-07-14</v>
      </c>
      <c r="E189" t="str">
        <f t="shared" si="53"/>
        <v>B2C</v>
      </c>
      <c r="F189" t="str">
        <f t="shared" si="54"/>
        <v>Masaje</v>
      </c>
      <c r="G189" t="str">
        <f t="shared" si="55"/>
        <v>Pareja</v>
      </c>
      <c r="H189" t="str">
        <f t="shared" si="56"/>
        <v>120min</v>
      </c>
      <c r="I189" t="str">
        <f t="shared" si="57"/>
        <v>Relajante</v>
      </c>
      <c r="J189" t="str">
        <f t="shared" si="58"/>
        <v>PROVIDENCIA</v>
      </c>
      <c r="K189" t="str">
        <f t="shared" si="59"/>
        <v>Ninguno</v>
      </c>
      <c r="L189">
        <f t="shared" si="60"/>
        <v>0</v>
      </c>
      <c r="M189">
        <f t="shared" si="61"/>
        <v>0</v>
      </c>
      <c r="N189" t="str">
        <f t="shared" si="62"/>
        <v/>
      </c>
      <c r="O189" s="10" t="str">
        <f>+VLOOKUP(Z189,listas!$B:$C,2,0)</f>
        <v>B2C</v>
      </c>
      <c r="P189" s="11">
        <f t="shared" si="63"/>
        <v>76000</v>
      </c>
      <c r="Q189" s="11">
        <f t="shared" si="47"/>
        <v>38319</v>
      </c>
      <c r="R189" s="59">
        <f t="shared" si="64"/>
        <v>7</v>
      </c>
      <c r="S189" s="59">
        <f t="shared" si="65"/>
        <v>14</v>
      </c>
      <c r="T189" s="11">
        <f t="shared" si="66"/>
        <v>1</v>
      </c>
      <c r="U189" s="120" t="s">
        <v>80</v>
      </c>
      <c r="V189" s="120" t="s">
        <v>907</v>
      </c>
      <c r="W189" s="120" t="s">
        <v>880</v>
      </c>
      <c r="X189" s="120" t="s">
        <v>880</v>
      </c>
      <c r="Y189" s="120" t="s">
        <v>130</v>
      </c>
      <c r="Z189" s="120" t="s">
        <v>98</v>
      </c>
      <c r="AA189" s="120" t="s">
        <v>99</v>
      </c>
      <c r="AB189" s="120" t="s">
        <v>4</v>
      </c>
      <c r="AC189" s="120" t="s">
        <v>82</v>
      </c>
      <c r="AD189" s="120" t="s">
        <v>119</v>
      </c>
      <c r="AE189" s="120" t="s">
        <v>120</v>
      </c>
      <c r="AF189" s="120" t="s">
        <v>85</v>
      </c>
      <c r="AG189" s="133">
        <v>76000</v>
      </c>
      <c r="AH189" s="133">
        <v>68400</v>
      </c>
      <c r="AI189" s="133">
        <v>0</v>
      </c>
      <c r="AJ189" s="133">
        <v>7600</v>
      </c>
      <c r="AK189" s="133">
        <v>45600</v>
      </c>
      <c r="AL189" s="120" t="s">
        <v>535</v>
      </c>
      <c r="AM189" s="120" t="s">
        <v>86</v>
      </c>
      <c r="AN189" s="120" t="s">
        <v>86</v>
      </c>
      <c r="AO189" s="120" t="s">
        <v>86</v>
      </c>
      <c r="AP189" s="120" t="s">
        <v>86</v>
      </c>
      <c r="AQ189" s="120" t="s">
        <v>908</v>
      </c>
      <c r="AR189" s="120" t="s">
        <v>909</v>
      </c>
      <c r="AS189" s="120" t="s">
        <v>143</v>
      </c>
      <c r="AT189" s="120" t="s">
        <v>143</v>
      </c>
      <c r="AU189" s="120" t="s">
        <v>157</v>
      </c>
      <c r="AV189" s="120" t="s">
        <v>9</v>
      </c>
      <c r="AW189" s="120" t="s">
        <v>92</v>
      </c>
      <c r="AX189" s="120" t="s">
        <v>103</v>
      </c>
      <c r="AY189" s="120">
        <v>0</v>
      </c>
      <c r="AZ189" s="120">
        <v>0</v>
      </c>
      <c r="BA189" s="120" t="s">
        <v>86</v>
      </c>
      <c r="BB189" s="134" t="s">
        <v>910</v>
      </c>
      <c r="BC189" s="120" t="s">
        <v>86</v>
      </c>
    </row>
    <row r="190" spans="1:55" ht="15" customHeight="1">
      <c r="A190" t="str">
        <f>IFERROR(VLOOKUP(AV190,Nómina!B:E,4,0),"")</f>
        <v>PAMELA VERONICA CID NAVIA  </v>
      </c>
      <c r="B190" t="str">
        <f>IFERROR(VLOOKUP(A190,Nómina!E:F,2,0),"")</f>
        <v>8008360-2</v>
      </c>
      <c r="C190" s="30">
        <f t="shared" si="51"/>
        <v>22689</v>
      </c>
      <c r="D190" t="str">
        <f t="shared" si="52"/>
        <v>2026-07-14</v>
      </c>
      <c r="E190" t="str">
        <f t="shared" si="53"/>
        <v>B2C</v>
      </c>
      <c r="F190" t="str">
        <f t="shared" si="54"/>
        <v>Masaje</v>
      </c>
      <c r="G190" t="str">
        <f t="shared" si="55"/>
        <v>Individual</v>
      </c>
      <c r="H190" t="str">
        <f t="shared" si="56"/>
        <v>60min</v>
      </c>
      <c r="I190" t="str">
        <f t="shared" si="57"/>
        <v>Relajante</v>
      </c>
      <c r="J190" t="str">
        <f t="shared" si="58"/>
        <v>LAS CONDES</v>
      </c>
      <c r="K190" t="str">
        <f t="shared" si="59"/>
        <v>Ninguno</v>
      </c>
      <c r="L190">
        <f t="shared" si="60"/>
        <v>0</v>
      </c>
      <c r="M190">
        <f t="shared" si="61"/>
        <v>0</v>
      </c>
      <c r="N190" t="str">
        <f t="shared" si="62"/>
        <v/>
      </c>
      <c r="O190" s="10" t="str">
        <f>+VLOOKUP(Z190,listas!$B:$C,2,0)</f>
        <v>B2C</v>
      </c>
      <c r="P190" s="11">
        <f t="shared" si="63"/>
        <v>45000</v>
      </c>
      <c r="Q190" s="11">
        <f t="shared" si="47"/>
        <v>22689</v>
      </c>
      <c r="R190" s="59">
        <f t="shared" si="64"/>
        <v>7</v>
      </c>
      <c r="S190" s="59">
        <f t="shared" si="65"/>
        <v>14</v>
      </c>
      <c r="T190" s="11">
        <f t="shared" si="66"/>
        <v>1</v>
      </c>
      <c r="U190" s="120" t="s">
        <v>80</v>
      </c>
      <c r="V190" s="120" t="s">
        <v>911</v>
      </c>
      <c r="W190" s="120" t="s">
        <v>880</v>
      </c>
      <c r="X190" s="120" t="s">
        <v>880</v>
      </c>
      <c r="Y190" s="120" t="s">
        <v>114</v>
      </c>
      <c r="Z190" s="120" t="s">
        <v>98</v>
      </c>
      <c r="AA190" s="120" t="s">
        <v>81</v>
      </c>
      <c r="AB190" s="120" t="s">
        <v>4</v>
      </c>
      <c r="AC190" s="120" t="s">
        <v>82</v>
      </c>
      <c r="AD190" s="120" t="s">
        <v>83</v>
      </c>
      <c r="AE190" s="120" t="s">
        <v>84</v>
      </c>
      <c r="AF190" s="120" t="s">
        <v>85</v>
      </c>
      <c r="AG190" s="133">
        <v>45000</v>
      </c>
      <c r="AH190" s="133">
        <v>40500</v>
      </c>
      <c r="AI190" s="133">
        <v>0</v>
      </c>
      <c r="AJ190" s="133">
        <v>4500</v>
      </c>
      <c r="AK190" s="133">
        <v>27000</v>
      </c>
      <c r="AL190" s="120" t="s">
        <v>559</v>
      </c>
      <c r="AM190" s="120" t="s">
        <v>86</v>
      </c>
      <c r="AN190" s="120" t="s">
        <v>86</v>
      </c>
      <c r="AO190" s="120" t="s">
        <v>86</v>
      </c>
      <c r="AP190" s="120" t="s">
        <v>86</v>
      </c>
      <c r="AQ190" s="120" t="s">
        <v>912</v>
      </c>
      <c r="AR190" s="120" t="s">
        <v>913</v>
      </c>
      <c r="AS190" s="120" t="s">
        <v>89</v>
      </c>
      <c r="AT190" s="120" t="s">
        <v>89</v>
      </c>
      <c r="AU190" s="120" t="s">
        <v>144</v>
      </c>
      <c r="AV190" s="120" t="s">
        <v>19</v>
      </c>
      <c r="AW190" s="120" t="s">
        <v>92</v>
      </c>
      <c r="AX190" s="120" t="s">
        <v>103</v>
      </c>
      <c r="AY190" s="120">
        <v>0</v>
      </c>
      <c r="AZ190" s="120">
        <v>0</v>
      </c>
      <c r="BA190" s="120" t="s">
        <v>86</v>
      </c>
      <c r="BB190" s="134" t="s">
        <v>914</v>
      </c>
      <c r="BC190" s="120" t="s">
        <v>86</v>
      </c>
    </row>
    <row r="191" spans="1:55" ht="15" customHeight="1">
      <c r="A191" t="str">
        <f>IFERROR(VLOOKUP(AV191,Nómina!B:E,4,0),"")</f>
        <v>MARCIA ANGELICA VILLEGAS BARRIOS</v>
      </c>
      <c r="B191" t="str">
        <f>IFERROR(VLOOKUP(A191,Nómina!E:F,2,0),"")</f>
        <v>17003238-1</v>
      </c>
      <c r="C191" s="30">
        <f t="shared" si="51"/>
        <v>22689</v>
      </c>
      <c r="D191" t="str">
        <f t="shared" si="52"/>
        <v>2026-07-15</v>
      </c>
      <c r="E191" t="str">
        <f t="shared" si="53"/>
        <v>B2C</v>
      </c>
      <c r="F191" t="str">
        <f t="shared" si="54"/>
        <v>Masaje</v>
      </c>
      <c r="G191" t="str">
        <f t="shared" si="55"/>
        <v>Individual</v>
      </c>
      <c r="H191" t="str">
        <f t="shared" si="56"/>
        <v>60min</v>
      </c>
      <c r="I191" t="str">
        <f t="shared" si="57"/>
        <v>Tejido profundo</v>
      </c>
      <c r="J191" t="str">
        <f t="shared" si="58"/>
        <v>LAS CONDES</v>
      </c>
      <c r="K191" t="str">
        <f t="shared" si="59"/>
        <v>Ninguno</v>
      </c>
      <c r="L191">
        <f t="shared" si="60"/>
        <v>0</v>
      </c>
      <c r="M191">
        <f t="shared" si="61"/>
        <v>0</v>
      </c>
      <c r="N191" t="str">
        <f t="shared" si="62"/>
        <v/>
      </c>
      <c r="O191" s="10" t="str">
        <f>+VLOOKUP(Z191,listas!$B:$C,2,0)</f>
        <v>B2C</v>
      </c>
      <c r="P191" s="11">
        <f t="shared" si="63"/>
        <v>45000</v>
      </c>
      <c r="Q191" s="11">
        <f t="shared" si="47"/>
        <v>22689</v>
      </c>
      <c r="R191" s="59">
        <f t="shared" si="64"/>
        <v>7</v>
      </c>
      <c r="S191" s="59">
        <f t="shared" si="65"/>
        <v>15</v>
      </c>
      <c r="T191" s="11">
        <f t="shared" si="66"/>
        <v>1</v>
      </c>
      <c r="U191" s="120" t="s">
        <v>80</v>
      </c>
      <c r="V191" s="120" t="s">
        <v>915</v>
      </c>
      <c r="W191" s="120" t="s">
        <v>880</v>
      </c>
      <c r="X191" s="120" t="s">
        <v>916</v>
      </c>
      <c r="Y191" s="120" t="s">
        <v>496</v>
      </c>
      <c r="Z191" s="120" t="s">
        <v>98</v>
      </c>
      <c r="AA191" s="120" t="s">
        <v>131</v>
      </c>
      <c r="AB191" s="120" t="s">
        <v>4</v>
      </c>
      <c r="AC191" s="120" t="s">
        <v>82</v>
      </c>
      <c r="AD191" s="120" t="s">
        <v>83</v>
      </c>
      <c r="AE191" s="120" t="s">
        <v>84</v>
      </c>
      <c r="AF191" s="120" t="s">
        <v>123</v>
      </c>
      <c r="AG191" s="133">
        <v>45000</v>
      </c>
      <c r="AH191" s="133">
        <v>38250</v>
      </c>
      <c r="AI191" s="133">
        <v>0</v>
      </c>
      <c r="AJ191" s="133">
        <v>6750</v>
      </c>
      <c r="AK191" s="133">
        <v>27000</v>
      </c>
      <c r="AL191" s="120" t="s">
        <v>546</v>
      </c>
      <c r="AM191" s="120" t="s">
        <v>86</v>
      </c>
      <c r="AN191" s="120" t="s">
        <v>86</v>
      </c>
      <c r="AO191" s="120" t="s">
        <v>86</v>
      </c>
      <c r="AP191" s="120" t="s">
        <v>86</v>
      </c>
      <c r="AQ191" s="120" t="s">
        <v>917</v>
      </c>
      <c r="AR191" s="120" t="s">
        <v>918</v>
      </c>
      <c r="AS191" s="120" t="s">
        <v>89</v>
      </c>
      <c r="AT191" s="120" t="s">
        <v>89</v>
      </c>
      <c r="AU191" s="120" t="s">
        <v>285</v>
      </c>
      <c r="AV191" s="120" t="s">
        <v>43</v>
      </c>
      <c r="AW191" s="120" t="s">
        <v>92</v>
      </c>
      <c r="AX191" s="120" t="s">
        <v>103</v>
      </c>
      <c r="AY191" s="120">
        <v>0</v>
      </c>
      <c r="AZ191" s="120">
        <v>0</v>
      </c>
      <c r="BA191" s="120" t="s">
        <v>86</v>
      </c>
      <c r="BB191" s="134" t="s">
        <v>919</v>
      </c>
      <c r="BC191" s="120" t="s">
        <v>86</v>
      </c>
    </row>
    <row r="192" spans="1:55" ht="15" customHeight="1">
      <c r="A192" t="str">
        <f>IFERROR(VLOOKUP(AV192,Nómina!B:E,4,0),"")</f>
        <v>MARCIA ANGELICA VILLEGAS BARRIOS</v>
      </c>
      <c r="B192" t="str">
        <f>IFERROR(VLOOKUP(A192,Nómina!E:F,2,0),"")</f>
        <v>17003238-1</v>
      </c>
      <c r="C192" s="30">
        <f t="shared" si="51"/>
        <v>5042</v>
      </c>
      <c r="D192" t="str">
        <f t="shared" si="52"/>
        <v>2026-07-15</v>
      </c>
      <c r="E192" t="str">
        <f t="shared" si="53"/>
        <v>B2C</v>
      </c>
      <c r="F192" t="str">
        <f t="shared" si="54"/>
        <v>Addon</v>
      </c>
      <c r="G192" t="str">
        <f t="shared" si="55"/>
        <v>Individual</v>
      </c>
      <c r="H192" t="str">
        <f t="shared" si="56"/>
        <v>15min</v>
      </c>
      <c r="I192" t="str">
        <f t="shared" si="57"/>
        <v>Reflexología</v>
      </c>
      <c r="J192" t="str">
        <f t="shared" si="58"/>
        <v>LAS CONDES</v>
      </c>
      <c r="K192" t="str">
        <f t="shared" si="59"/>
        <v>Ninguno</v>
      </c>
      <c r="L192">
        <f t="shared" si="60"/>
        <v>0</v>
      </c>
      <c r="M192">
        <f t="shared" si="61"/>
        <v>0</v>
      </c>
      <c r="N192" t="str">
        <f t="shared" si="62"/>
        <v/>
      </c>
      <c r="O192" s="10" t="str">
        <f>+VLOOKUP(Z192,listas!$B:$C,2,0)</f>
        <v>B2C</v>
      </c>
      <c r="P192" s="11">
        <f t="shared" si="63"/>
        <v>10000</v>
      </c>
      <c r="Q192" s="11">
        <f t="shared" si="47"/>
        <v>5042</v>
      </c>
      <c r="R192" s="59">
        <f t="shared" si="64"/>
        <v>7</v>
      </c>
      <c r="S192" s="59">
        <f t="shared" si="65"/>
        <v>15</v>
      </c>
      <c r="T192" s="11">
        <f t="shared" si="66"/>
        <v>1</v>
      </c>
      <c r="U192" s="135" t="s">
        <v>80</v>
      </c>
      <c r="V192" s="135" t="s">
        <v>915</v>
      </c>
      <c r="W192" s="135" t="s">
        <v>880</v>
      </c>
      <c r="X192" s="135" t="s">
        <v>916</v>
      </c>
      <c r="Y192" s="135" t="s">
        <v>496</v>
      </c>
      <c r="Z192" s="135" t="s">
        <v>98</v>
      </c>
      <c r="AA192" s="135" t="s">
        <v>131</v>
      </c>
      <c r="AB192" s="135" t="s">
        <v>4</v>
      </c>
      <c r="AC192" s="135" t="s">
        <v>93</v>
      </c>
      <c r="AD192" s="135" t="s">
        <v>83</v>
      </c>
      <c r="AE192" s="135" t="s">
        <v>94</v>
      </c>
      <c r="AF192" s="135" t="s">
        <v>95</v>
      </c>
      <c r="AG192" s="136">
        <v>10000</v>
      </c>
      <c r="AH192" s="136">
        <v>8500</v>
      </c>
      <c r="AI192" s="136">
        <v>0</v>
      </c>
      <c r="AJ192" s="136">
        <v>1500</v>
      </c>
      <c r="AK192" s="136">
        <v>6000</v>
      </c>
      <c r="AL192" s="135" t="s">
        <v>546</v>
      </c>
      <c r="AM192" s="135" t="s">
        <v>86</v>
      </c>
      <c r="AN192" s="135" t="s">
        <v>86</v>
      </c>
      <c r="AO192" s="135" t="s">
        <v>86</v>
      </c>
      <c r="AP192" s="135" t="s">
        <v>86</v>
      </c>
      <c r="AQ192" s="135" t="s">
        <v>917</v>
      </c>
      <c r="AR192" s="135" t="s">
        <v>918</v>
      </c>
      <c r="AS192" s="135" t="s">
        <v>89</v>
      </c>
      <c r="AT192" s="135" t="s">
        <v>89</v>
      </c>
      <c r="AU192" s="135" t="s">
        <v>285</v>
      </c>
      <c r="AV192" s="135" t="s">
        <v>43</v>
      </c>
      <c r="AW192" s="135" t="s">
        <v>92</v>
      </c>
      <c r="AX192" s="135" t="s">
        <v>103</v>
      </c>
      <c r="AY192" s="135">
        <v>0</v>
      </c>
      <c r="AZ192" s="135">
        <v>0</v>
      </c>
      <c r="BA192" s="135" t="s">
        <v>86</v>
      </c>
      <c r="BB192" s="137" t="s">
        <v>919</v>
      </c>
      <c r="BC192" s="135" t="s">
        <v>86</v>
      </c>
    </row>
    <row r="193" spans="1:55" ht="15" customHeight="1">
      <c r="A193" t="str">
        <f>IFERROR(VLOOKUP(AV193,Nómina!B:E,4,0),"")</f>
        <v>DANIELA ANTONIA ALARCON ELIZALDE</v>
      </c>
      <c r="B193" t="str">
        <f>IFERROR(VLOOKUP(A193,Nómina!E:F,2,0),"")</f>
        <v>15893769-7</v>
      </c>
      <c r="C193" s="30">
        <f t="shared" si="51"/>
        <v>22689</v>
      </c>
      <c r="D193" t="str">
        <f t="shared" si="52"/>
        <v>2026-07-15</v>
      </c>
      <c r="E193" t="str">
        <f t="shared" si="53"/>
        <v>B2C</v>
      </c>
      <c r="F193" t="str">
        <f t="shared" si="54"/>
        <v>Masaje</v>
      </c>
      <c r="G193" t="str">
        <f t="shared" si="55"/>
        <v>Individual</v>
      </c>
      <c r="H193" t="str">
        <f t="shared" si="56"/>
        <v>60min</v>
      </c>
      <c r="I193" t="str">
        <f t="shared" si="57"/>
        <v>Tejido profundo</v>
      </c>
      <c r="J193" t="str">
        <f t="shared" si="58"/>
        <v>LAS CONDES</v>
      </c>
      <c r="K193" t="str">
        <f t="shared" si="59"/>
        <v>Ninguno</v>
      </c>
      <c r="L193">
        <f t="shared" si="60"/>
        <v>0</v>
      </c>
      <c r="M193">
        <f t="shared" si="61"/>
        <v>0</v>
      </c>
      <c r="N193" t="str">
        <f t="shared" si="62"/>
        <v/>
      </c>
      <c r="O193" s="10" t="str">
        <f>+VLOOKUP(Z193,listas!$B:$C,2,0)</f>
        <v>B2C</v>
      </c>
      <c r="P193" s="11">
        <f t="shared" si="63"/>
        <v>45000</v>
      </c>
      <c r="Q193" s="11">
        <f t="shared" si="47"/>
        <v>22689</v>
      </c>
      <c r="R193" s="59">
        <f t="shared" si="64"/>
        <v>7</v>
      </c>
      <c r="S193" s="59">
        <f t="shared" si="65"/>
        <v>15</v>
      </c>
      <c r="T193" s="11">
        <f t="shared" si="66"/>
        <v>1</v>
      </c>
      <c r="U193" s="120" t="s">
        <v>80</v>
      </c>
      <c r="V193" s="120" t="s">
        <v>920</v>
      </c>
      <c r="W193" s="120" t="s">
        <v>859</v>
      </c>
      <c r="X193" s="120" t="s">
        <v>916</v>
      </c>
      <c r="Y193" s="120" t="s">
        <v>118</v>
      </c>
      <c r="Z193" s="120" t="s">
        <v>117</v>
      </c>
      <c r="AA193" s="120" t="s">
        <v>99</v>
      </c>
      <c r="AB193" s="120" t="s">
        <v>4</v>
      </c>
      <c r="AC193" s="120" t="s">
        <v>82</v>
      </c>
      <c r="AD193" s="120" t="s">
        <v>83</v>
      </c>
      <c r="AE193" s="120" t="s">
        <v>84</v>
      </c>
      <c r="AF193" s="120" t="s">
        <v>123</v>
      </c>
      <c r="AG193" s="133">
        <v>45000</v>
      </c>
      <c r="AH193" s="133">
        <v>0</v>
      </c>
      <c r="AI193" s="133">
        <v>45000</v>
      </c>
      <c r="AJ193" s="133">
        <v>0</v>
      </c>
      <c r="AK193" s="133">
        <v>27000</v>
      </c>
      <c r="AL193" s="120" t="s">
        <v>86</v>
      </c>
      <c r="AM193" s="120" t="s">
        <v>86</v>
      </c>
      <c r="AN193" s="120" t="s">
        <v>86</v>
      </c>
      <c r="AO193" s="120" t="s">
        <v>86</v>
      </c>
      <c r="AP193" s="120" t="s">
        <v>86</v>
      </c>
      <c r="AQ193" s="120" t="s">
        <v>921</v>
      </c>
      <c r="AR193" s="120" t="s">
        <v>922</v>
      </c>
      <c r="AS193" s="120" t="s">
        <v>89</v>
      </c>
      <c r="AT193" s="120" t="s">
        <v>89</v>
      </c>
      <c r="AU193" s="120" t="s">
        <v>168</v>
      </c>
      <c r="AV193" s="120" t="s">
        <v>510</v>
      </c>
      <c r="AW193" s="120" t="s">
        <v>92</v>
      </c>
      <c r="AX193" s="120" t="s">
        <v>103</v>
      </c>
      <c r="AY193" s="120">
        <v>0</v>
      </c>
      <c r="AZ193" s="120">
        <v>0</v>
      </c>
      <c r="BA193" s="120" t="s">
        <v>86</v>
      </c>
      <c r="BB193" s="134" t="s">
        <v>923</v>
      </c>
      <c r="BC193" s="120" t="s">
        <v>86</v>
      </c>
    </row>
    <row r="194" spans="1:55" ht="15" customHeight="1">
      <c r="A194" t="str">
        <f>IFERROR(VLOOKUP(AV194,Nómina!B:E,4,0),"")</f>
        <v>BETTINA GAJARDO</v>
      </c>
      <c r="B194" t="str">
        <f>IFERROR(VLOOKUP(A194,Nómina!E:F,2,0),"")</f>
        <v>16586101-9</v>
      </c>
      <c r="C194" s="30">
        <f t="shared" si="51"/>
        <v>22689</v>
      </c>
      <c r="D194" t="str">
        <f t="shared" si="52"/>
        <v>2026-07-15</v>
      </c>
      <c r="E194" t="str">
        <f t="shared" si="53"/>
        <v>ALIANZA</v>
      </c>
      <c r="F194" t="str">
        <f t="shared" si="54"/>
        <v>Masaje</v>
      </c>
      <c r="G194" t="str">
        <f t="shared" si="55"/>
        <v>Individual</v>
      </c>
      <c r="H194" t="str">
        <f t="shared" si="56"/>
        <v>60min</v>
      </c>
      <c r="I194" t="str">
        <f t="shared" si="57"/>
        <v>Tejido profundo</v>
      </c>
      <c r="J194" t="str">
        <f t="shared" si="58"/>
        <v>CERRILLOS</v>
      </c>
      <c r="K194" t="str">
        <f t="shared" si="59"/>
        <v>Código Bigbox: 4MDYEHFZ.</v>
      </c>
      <c r="L194">
        <f t="shared" si="60"/>
        <v>0</v>
      </c>
      <c r="M194">
        <f t="shared" si="61"/>
        <v>0</v>
      </c>
      <c r="N194" t="str">
        <f t="shared" si="62"/>
        <v/>
      </c>
      <c r="O194" s="10" t="str">
        <f>+VLOOKUP(Z194,listas!$B:$C,2,0)</f>
        <v>ALIANZA</v>
      </c>
      <c r="P194" s="11">
        <f t="shared" si="63"/>
        <v>45000</v>
      </c>
      <c r="Q194" s="11">
        <f t="shared" si="47"/>
        <v>22689</v>
      </c>
      <c r="R194" s="59">
        <f t="shared" si="64"/>
        <v>7</v>
      </c>
      <c r="S194" s="59">
        <f t="shared" si="65"/>
        <v>15</v>
      </c>
      <c r="T194" s="11">
        <f t="shared" si="66"/>
        <v>1</v>
      </c>
      <c r="U194" s="120" t="s">
        <v>80</v>
      </c>
      <c r="V194" s="120" t="s">
        <v>924</v>
      </c>
      <c r="W194" s="120" t="s">
        <v>916</v>
      </c>
      <c r="X194" s="120" t="s">
        <v>916</v>
      </c>
      <c r="Y194" s="120" t="s">
        <v>142</v>
      </c>
      <c r="Z194" s="120" t="s">
        <v>515</v>
      </c>
      <c r="AA194" s="120" t="s">
        <v>81</v>
      </c>
      <c r="AB194" s="120" t="s">
        <v>2</v>
      </c>
      <c r="AC194" s="120" t="s">
        <v>82</v>
      </c>
      <c r="AD194" s="120" t="s">
        <v>83</v>
      </c>
      <c r="AE194" s="120" t="s">
        <v>84</v>
      </c>
      <c r="AF194" s="120" t="s">
        <v>123</v>
      </c>
      <c r="AG194" s="133">
        <v>45000</v>
      </c>
      <c r="AH194" s="133">
        <v>45000</v>
      </c>
      <c r="AI194" s="133">
        <v>0</v>
      </c>
      <c r="AJ194" s="133">
        <v>0</v>
      </c>
      <c r="AK194" s="133">
        <v>27000</v>
      </c>
      <c r="AL194" s="120" t="s">
        <v>86</v>
      </c>
      <c r="AM194" s="120" t="s">
        <v>86</v>
      </c>
      <c r="AN194" s="120" t="s">
        <v>86</v>
      </c>
      <c r="AO194" s="120" t="s">
        <v>86</v>
      </c>
      <c r="AP194" s="120" t="s">
        <v>86</v>
      </c>
      <c r="AQ194" s="120" t="s">
        <v>925</v>
      </c>
      <c r="AR194" s="120" t="s">
        <v>926</v>
      </c>
      <c r="AS194" s="120" t="s">
        <v>708</v>
      </c>
      <c r="AT194" s="120" t="s">
        <v>708</v>
      </c>
      <c r="AU194" s="120" t="s">
        <v>927</v>
      </c>
      <c r="AV194" s="120" t="s">
        <v>517</v>
      </c>
      <c r="AW194" s="120" t="s">
        <v>92</v>
      </c>
      <c r="AX194" s="120" t="s">
        <v>928</v>
      </c>
      <c r="AY194" s="120">
        <v>0</v>
      </c>
      <c r="AZ194" s="120">
        <v>0</v>
      </c>
      <c r="BA194" s="120" t="s">
        <v>86</v>
      </c>
      <c r="BB194" s="134" t="s">
        <v>929</v>
      </c>
      <c r="BC194" s="120" t="s">
        <v>86</v>
      </c>
    </row>
    <row r="195" spans="1:55" ht="15" customHeight="1">
      <c r="A195" t="str">
        <f>IFERROR(VLOOKUP(AV195,Nómina!B:E,4,0),"")</f>
        <v>BETTINA GAJARDO</v>
      </c>
      <c r="B195" t="str">
        <f>IFERROR(VLOOKUP(A195,Nómina!E:F,2,0),"")</f>
        <v>16586101-9</v>
      </c>
      <c r="C195" s="30">
        <f t="shared" si="51"/>
        <v>0</v>
      </c>
      <c r="D195" t="str">
        <f t="shared" si="52"/>
        <v>2026-07-15</v>
      </c>
      <c r="E195" t="str">
        <f t="shared" si="53"/>
        <v>ALIANZA</v>
      </c>
      <c r="F195" t="str">
        <f t="shared" si="54"/>
        <v>Cortesía</v>
      </c>
      <c r="G195" t="str">
        <f t="shared" si="55"/>
        <v>Individual</v>
      </c>
      <c r="H195" t="str">
        <f t="shared" si="56"/>
        <v>30min</v>
      </c>
      <c r="I195" t="str">
        <f t="shared" si="57"/>
        <v>Masaje Tiempo Extra</v>
      </c>
      <c r="J195" t="str">
        <f t="shared" si="58"/>
        <v>CERRILLOS</v>
      </c>
      <c r="K195" t="str">
        <f t="shared" si="59"/>
        <v>Código Bigbox: 4MDYEHFZ.</v>
      </c>
      <c r="L195">
        <f t="shared" si="60"/>
        <v>0</v>
      </c>
      <c r="M195">
        <f t="shared" si="61"/>
        <v>0</v>
      </c>
      <c r="N195" t="str">
        <f t="shared" si="62"/>
        <v/>
      </c>
      <c r="O195" s="10" t="str">
        <f>+VLOOKUP(Z195,listas!$B:$C,2,0)</f>
        <v>ALIANZA</v>
      </c>
      <c r="P195" s="11">
        <f t="shared" si="63"/>
        <v>0</v>
      </c>
      <c r="Q195" s="11">
        <f t="shared" si="47"/>
        <v>0</v>
      </c>
      <c r="R195" s="59">
        <f t="shared" si="64"/>
        <v>7</v>
      </c>
      <c r="S195" s="59">
        <f t="shared" si="65"/>
        <v>15</v>
      </c>
      <c r="T195" s="11">
        <f t="shared" si="66"/>
        <v>1</v>
      </c>
      <c r="U195" s="146" t="s">
        <v>80</v>
      </c>
      <c r="V195" s="146" t="s">
        <v>924</v>
      </c>
      <c r="W195" s="146" t="s">
        <v>916</v>
      </c>
      <c r="X195" s="146" t="s">
        <v>916</v>
      </c>
      <c r="Y195" s="146" t="s">
        <v>142</v>
      </c>
      <c r="Z195" s="146" t="s">
        <v>515</v>
      </c>
      <c r="AA195" s="146" t="s">
        <v>81</v>
      </c>
      <c r="AB195" s="146" t="s">
        <v>2</v>
      </c>
      <c r="AC195" s="146" t="s">
        <v>273</v>
      </c>
      <c r="AD195" s="146" t="s">
        <v>83</v>
      </c>
      <c r="AE195" s="146" t="s">
        <v>126</v>
      </c>
      <c r="AF195" s="146" t="s">
        <v>127</v>
      </c>
      <c r="AG195" s="147">
        <v>0</v>
      </c>
      <c r="AH195" s="147">
        <v>0</v>
      </c>
      <c r="AI195" s="147">
        <v>0</v>
      </c>
      <c r="AJ195" s="147">
        <v>0</v>
      </c>
      <c r="AK195" s="147">
        <v>10800</v>
      </c>
      <c r="AL195" s="146" t="s">
        <v>86</v>
      </c>
      <c r="AM195" s="146" t="s">
        <v>86</v>
      </c>
      <c r="AN195" s="146" t="s">
        <v>86</v>
      </c>
      <c r="AO195" s="146" t="s">
        <v>86</v>
      </c>
      <c r="AP195" s="146" t="s">
        <v>86</v>
      </c>
      <c r="AQ195" s="146" t="s">
        <v>925</v>
      </c>
      <c r="AR195" s="146" t="s">
        <v>926</v>
      </c>
      <c r="AS195" s="146" t="s">
        <v>708</v>
      </c>
      <c r="AT195" s="146" t="s">
        <v>708</v>
      </c>
      <c r="AU195" s="146" t="s">
        <v>927</v>
      </c>
      <c r="AV195" s="146" t="s">
        <v>517</v>
      </c>
      <c r="AW195" s="146" t="s">
        <v>92</v>
      </c>
      <c r="AX195" s="146" t="s">
        <v>928</v>
      </c>
      <c r="AY195" s="146">
        <v>0</v>
      </c>
      <c r="AZ195" s="146">
        <v>0</v>
      </c>
      <c r="BA195" s="146" t="s">
        <v>86</v>
      </c>
      <c r="BB195" s="148" t="s">
        <v>929</v>
      </c>
      <c r="BC195" s="146" t="s">
        <v>86</v>
      </c>
    </row>
    <row r="196" spans="1:55" ht="15" customHeight="1">
      <c r="A196" t="str">
        <f>IFERROR(VLOOKUP(AV196,Nómina!B:E,4,0),"")</f>
        <v>PAMELA CONSTANZA HUILITRARO QUEZADA</v>
      </c>
      <c r="B196" t="str">
        <f>IFERROR(VLOOKUP(A196,Nómina!E:F,2,0),"")</f>
        <v>18881513-8</v>
      </c>
      <c r="C196" s="30">
        <f t="shared" si="51"/>
        <v>22689</v>
      </c>
      <c r="D196" t="str">
        <f t="shared" si="52"/>
        <v>2026-07-15</v>
      </c>
      <c r="E196" t="str">
        <f t="shared" si="53"/>
        <v>HOTEL</v>
      </c>
      <c r="F196" t="str">
        <f t="shared" si="54"/>
        <v>Masaje</v>
      </c>
      <c r="G196" t="str">
        <f t="shared" si="55"/>
        <v>Individual</v>
      </c>
      <c r="H196" t="str">
        <f t="shared" si="56"/>
        <v>60min</v>
      </c>
      <c r="I196" t="str">
        <f t="shared" si="57"/>
        <v>Relajante</v>
      </c>
      <c r="J196" t="str">
        <f t="shared" si="58"/>
        <v>VITACURA</v>
      </c>
      <c r="K196" t="str">
        <f t="shared" si="59"/>
        <v>Huésped: Gaizka Mendikoetchea. Hab: 611. Solicita: Alonso.</v>
      </c>
      <c r="L196">
        <f t="shared" si="60"/>
        <v>0</v>
      </c>
      <c r="M196">
        <f t="shared" si="61"/>
        <v>0</v>
      </c>
      <c r="N196" t="str">
        <f t="shared" si="62"/>
        <v/>
      </c>
      <c r="O196" s="10" t="str">
        <f>+VLOOKUP(Z196,listas!$B:$C,2,0)</f>
        <v>HOTEL</v>
      </c>
      <c r="P196" s="11">
        <f t="shared" si="63"/>
        <v>45000</v>
      </c>
      <c r="Q196" s="11">
        <f t="shared" ref="Q196:Q201" si="67">IF(AC196="Extra",IF(AF196="Extra de transporte",ROUND(P196/1.19*0.95,0),ROUND(P196/1.19*0.6,0)),ROUND(P196/1.19*0.6,0))</f>
        <v>22689</v>
      </c>
      <c r="R196" s="59">
        <f t="shared" si="64"/>
        <v>7</v>
      </c>
      <c r="S196" s="59">
        <f t="shared" si="65"/>
        <v>15</v>
      </c>
      <c r="T196" s="11">
        <f t="shared" si="66"/>
        <v>1</v>
      </c>
      <c r="U196" s="120" t="s">
        <v>80</v>
      </c>
      <c r="V196" s="120" t="s">
        <v>930</v>
      </c>
      <c r="W196" s="120" t="s">
        <v>880</v>
      </c>
      <c r="X196" s="120" t="s">
        <v>916</v>
      </c>
      <c r="Y196" s="120" t="s">
        <v>107</v>
      </c>
      <c r="Z196" s="120" t="s">
        <v>5</v>
      </c>
      <c r="AA196" s="120" t="s">
        <v>81</v>
      </c>
      <c r="AB196" s="120" t="s">
        <v>5</v>
      </c>
      <c r="AC196" s="120" t="s">
        <v>82</v>
      </c>
      <c r="AD196" s="120" t="s">
        <v>83</v>
      </c>
      <c r="AE196" s="120" t="s">
        <v>84</v>
      </c>
      <c r="AF196" s="120" t="s">
        <v>85</v>
      </c>
      <c r="AG196" s="133">
        <v>45000</v>
      </c>
      <c r="AH196" s="133">
        <v>45000</v>
      </c>
      <c r="AI196" s="133">
        <v>0</v>
      </c>
      <c r="AJ196" s="133">
        <v>0</v>
      </c>
      <c r="AK196" s="133">
        <v>27000</v>
      </c>
      <c r="AL196" s="120" t="s">
        <v>86</v>
      </c>
      <c r="AM196" s="120" t="s">
        <v>86</v>
      </c>
      <c r="AN196" s="120" t="s">
        <v>86</v>
      </c>
      <c r="AO196" s="120" t="s">
        <v>86</v>
      </c>
      <c r="AP196" s="120" t="s">
        <v>86</v>
      </c>
      <c r="AQ196" s="120" t="s">
        <v>124</v>
      </c>
      <c r="AR196" s="120" t="s">
        <v>125</v>
      </c>
      <c r="AS196" s="120" t="s">
        <v>115</v>
      </c>
      <c r="AT196" s="120" t="s">
        <v>115</v>
      </c>
      <c r="AU196" s="120" t="s">
        <v>91</v>
      </c>
      <c r="AV196" s="120" t="s">
        <v>20</v>
      </c>
      <c r="AW196" s="120" t="s">
        <v>92</v>
      </c>
      <c r="AX196" s="120" t="s">
        <v>931</v>
      </c>
      <c r="AY196" s="120">
        <v>0</v>
      </c>
      <c r="AZ196" s="120">
        <v>0</v>
      </c>
      <c r="BA196" s="120" t="s">
        <v>86</v>
      </c>
      <c r="BB196" s="134" t="s">
        <v>932</v>
      </c>
      <c r="BC196" s="120" t="s">
        <v>86</v>
      </c>
    </row>
    <row r="197" spans="1:55" ht="15" customHeight="1">
      <c r="A197" t="str">
        <f>IFERROR(VLOOKUP(AV197,Nómina!B:E,4,0),"")</f>
        <v>PAMELA VERONICA CID NAVIA  </v>
      </c>
      <c r="B197" t="str">
        <f>IFERROR(VLOOKUP(A197,Nómina!E:F,2,0),"")</f>
        <v>8008360-2</v>
      </c>
      <c r="C197" s="30">
        <f t="shared" si="51"/>
        <v>22689</v>
      </c>
      <c r="D197" t="str">
        <f t="shared" si="52"/>
        <v>2026-07-15</v>
      </c>
      <c r="E197" t="str">
        <f t="shared" si="53"/>
        <v>B2C</v>
      </c>
      <c r="F197" t="str">
        <f t="shared" si="54"/>
        <v>Masaje</v>
      </c>
      <c r="G197" t="str">
        <f t="shared" si="55"/>
        <v>Individual</v>
      </c>
      <c r="H197" t="str">
        <f t="shared" si="56"/>
        <v>60min</v>
      </c>
      <c r="I197" t="str">
        <f t="shared" si="57"/>
        <v>Tejido profundo</v>
      </c>
      <c r="J197" t="str">
        <f t="shared" si="58"/>
        <v>LAS CONDES</v>
      </c>
      <c r="K197" t="str">
        <f t="shared" si="59"/>
        <v>Ninguno</v>
      </c>
      <c r="L197">
        <f t="shared" si="60"/>
        <v>0</v>
      </c>
      <c r="M197">
        <f t="shared" si="61"/>
        <v>0</v>
      </c>
      <c r="N197" t="str">
        <f t="shared" si="62"/>
        <v/>
      </c>
      <c r="O197" s="10" t="str">
        <f>+VLOOKUP(Z197,listas!$B:$C,2,0)</f>
        <v>B2C</v>
      </c>
      <c r="P197" s="11">
        <f t="shared" si="63"/>
        <v>45000</v>
      </c>
      <c r="Q197" s="11">
        <f t="shared" si="67"/>
        <v>22689</v>
      </c>
      <c r="R197" s="59">
        <f t="shared" si="64"/>
        <v>7</v>
      </c>
      <c r="S197" s="59">
        <f t="shared" si="65"/>
        <v>15</v>
      </c>
      <c r="T197" s="11">
        <f t="shared" si="66"/>
        <v>1</v>
      </c>
      <c r="U197" s="120" t="s">
        <v>80</v>
      </c>
      <c r="V197" s="120" t="s">
        <v>933</v>
      </c>
      <c r="W197" s="120" t="s">
        <v>880</v>
      </c>
      <c r="X197" s="120" t="s">
        <v>916</v>
      </c>
      <c r="Y197" s="120" t="s">
        <v>159</v>
      </c>
      <c r="Z197" s="120" t="s">
        <v>98</v>
      </c>
      <c r="AA197" s="120" t="s">
        <v>99</v>
      </c>
      <c r="AB197" s="120" t="s">
        <v>4</v>
      </c>
      <c r="AC197" s="120" t="s">
        <v>82</v>
      </c>
      <c r="AD197" s="120" t="s">
        <v>83</v>
      </c>
      <c r="AE197" s="120" t="s">
        <v>84</v>
      </c>
      <c r="AF197" s="120" t="s">
        <v>123</v>
      </c>
      <c r="AG197" s="133">
        <v>45000</v>
      </c>
      <c r="AH197" s="133">
        <v>45000</v>
      </c>
      <c r="AI197" s="133">
        <v>0</v>
      </c>
      <c r="AJ197" s="133">
        <v>0</v>
      </c>
      <c r="AK197" s="133">
        <v>27000</v>
      </c>
      <c r="AL197" s="120" t="s">
        <v>86</v>
      </c>
      <c r="AM197" s="120" t="s">
        <v>86</v>
      </c>
      <c r="AN197" s="120" t="s">
        <v>86</v>
      </c>
      <c r="AO197" s="120" t="s">
        <v>86</v>
      </c>
      <c r="AP197" s="120" t="s">
        <v>86</v>
      </c>
      <c r="AQ197" s="120" t="s">
        <v>934</v>
      </c>
      <c r="AR197" s="120" t="s">
        <v>935</v>
      </c>
      <c r="AS197" s="120" t="s">
        <v>89</v>
      </c>
      <c r="AT197" s="120" t="s">
        <v>89</v>
      </c>
      <c r="AU197" s="120" t="s">
        <v>144</v>
      </c>
      <c r="AV197" s="120" t="s">
        <v>19</v>
      </c>
      <c r="AW197" s="120" t="s">
        <v>92</v>
      </c>
      <c r="AX197" s="120" t="s">
        <v>103</v>
      </c>
      <c r="AY197" s="120">
        <v>0</v>
      </c>
      <c r="AZ197" s="120">
        <v>0</v>
      </c>
      <c r="BA197" s="120" t="s">
        <v>86</v>
      </c>
      <c r="BB197" s="134" t="s">
        <v>936</v>
      </c>
      <c r="BC197" s="120" t="s">
        <v>86</v>
      </c>
    </row>
    <row r="198" spans="1:55" ht="15" customHeight="1">
      <c r="A198" t="str">
        <f>IFERROR(VLOOKUP(AV198,Nómina!B:E,4,0),"")</f>
        <v>GENESIS DANIELA PIMENTEL HERRERA</v>
      </c>
      <c r="B198" t="str">
        <f>IFERROR(VLOOKUP(A198,Nómina!E:F,2,0),"")</f>
        <v>26598096-1</v>
      </c>
      <c r="C198" s="30">
        <f t="shared" si="51"/>
        <v>22689</v>
      </c>
      <c r="D198" t="str">
        <f t="shared" si="52"/>
        <v>2026-07-15</v>
      </c>
      <c r="E198" t="str">
        <f t="shared" si="53"/>
        <v>B2C</v>
      </c>
      <c r="F198" t="str">
        <f t="shared" si="54"/>
        <v>Masaje</v>
      </c>
      <c r="G198" t="str">
        <f t="shared" si="55"/>
        <v>Individual</v>
      </c>
      <c r="H198" t="str">
        <f t="shared" si="56"/>
        <v>60min</v>
      </c>
      <c r="I198" t="str">
        <f t="shared" si="57"/>
        <v>Relajante</v>
      </c>
      <c r="J198" t="str">
        <f t="shared" si="58"/>
        <v>ÑUÑOA</v>
      </c>
      <c r="K198" t="str">
        <f t="shared" si="59"/>
        <v>Ninguno</v>
      </c>
      <c r="L198">
        <f t="shared" si="60"/>
        <v>0</v>
      </c>
      <c r="M198">
        <f t="shared" si="61"/>
        <v>0</v>
      </c>
      <c r="N198" t="str">
        <f t="shared" si="62"/>
        <v/>
      </c>
      <c r="O198" s="10" t="str">
        <f>+VLOOKUP(Z198,listas!$B:$C,2,0)</f>
        <v>B2C</v>
      </c>
      <c r="P198" s="11">
        <f t="shared" si="63"/>
        <v>45000</v>
      </c>
      <c r="Q198" s="11">
        <f t="shared" si="67"/>
        <v>22689</v>
      </c>
      <c r="R198" s="59">
        <f t="shared" si="64"/>
        <v>7</v>
      </c>
      <c r="S198" s="59">
        <f t="shared" si="65"/>
        <v>15</v>
      </c>
      <c r="T198" s="11">
        <f t="shared" si="66"/>
        <v>1</v>
      </c>
      <c r="U198" s="120" t="s">
        <v>80</v>
      </c>
      <c r="V198" s="120" t="s">
        <v>937</v>
      </c>
      <c r="W198" s="120" t="s">
        <v>916</v>
      </c>
      <c r="X198" s="120" t="s">
        <v>916</v>
      </c>
      <c r="Y198" s="120" t="s">
        <v>130</v>
      </c>
      <c r="Z198" s="120" t="s">
        <v>98</v>
      </c>
      <c r="AA198" s="120" t="s">
        <v>99</v>
      </c>
      <c r="AB198" s="120" t="s">
        <v>4</v>
      </c>
      <c r="AC198" s="120" t="s">
        <v>82</v>
      </c>
      <c r="AD198" s="120" t="s">
        <v>83</v>
      </c>
      <c r="AE198" s="120" t="s">
        <v>84</v>
      </c>
      <c r="AF198" s="120" t="s">
        <v>85</v>
      </c>
      <c r="AG198" s="133">
        <v>45000</v>
      </c>
      <c r="AH198" s="133">
        <v>45000</v>
      </c>
      <c r="AI198" s="133">
        <v>0</v>
      </c>
      <c r="AJ198" s="133">
        <v>0</v>
      </c>
      <c r="AK198" s="133">
        <v>27000</v>
      </c>
      <c r="AL198" s="120" t="s">
        <v>86</v>
      </c>
      <c r="AM198" s="120" t="s">
        <v>86</v>
      </c>
      <c r="AN198" s="120" t="s">
        <v>86</v>
      </c>
      <c r="AO198" s="120" t="s">
        <v>86</v>
      </c>
      <c r="AP198" s="120" t="s">
        <v>86</v>
      </c>
      <c r="AQ198" s="120" t="s">
        <v>938</v>
      </c>
      <c r="AR198" s="120" t="s">
        <v>939</v>
      </c>
      <c r="AS198" s="120" t="s">
        <v>153</v>
      </c>
      <c r="AT198" s="120" t="s">
        <v>153</v>
      </c>
      <c r="AU198" s="120" t="s">
        <v>141</v>
      </c>
      <c r="AV198" s="120" t="s">
        <v>552</v>
      </c>
      <c r="AW198" s="120" t="s">
        <v>92</v>
      </c>
      <c r="AX198" s="120" t="s">
        <v>103</v>
      </c>
      <c r="AY198" s="120">
        <v>0</v>
      </c>
      <c r="AZ198" s="120">
        <v>0</v>
      </c>
      <c r="BA198" s="120" t="s">
        <v>86</v>
      </c>
      <c r="BB198" s="134" t="s">
        <v>940</v>
      </c>
      <c r="BC198" s="120" t="s">
        <v>86</v>
      </c>
    </row>
    <row r="199" spans="1:55" ht="15" customHeight="1">
      <c r="A199" t="str">
        <f>IFERROR(VLOOKUP(AV199,Nómina!B:E,4,0),"")</f>
        <v>PAMELA VERONICA CID NAVIA  </v>
      </c>
      <c r="B199" t="str">
        <f>IFERROR(VLOOKUP(A199,Nómina!E:F,2,0),"")</f>
        <v>8008360-2</v>
      </c>
      <c r="C199" s="30">
        <f t="shared" si="51"/>
        <v>22689</v>
      </c>
      <c r="D199" t="str">
        <f t="shared" si="52"/>
        <v>2026-07-15</v>
      </c>
      <c r="E199" t="str">
        <f t="shared" si="53"/>
        <v>B2C</v>
      </c>
      <c r="F199" t="str">
        <f t="shared" si="54"/>
        <v>Masaje</v>
      </c>
      <c r="G199" t="str">
        <f t="shared" si="55"/>
        <v>Individual</v>
      </c>
      <c r="H199" t="str">
        <f t="shared" si="56"/>
        <v>60min</v>
      </c>
      <c r="I199" t="str">
        <f t="shared" si="57"/>
        <v>Tejido profundo</v>
      </c>
      <c r="J199" t="str">
        <f t="shared" si="58"/>
        <v>LAS CONDES</v>
      </c>
      <c r="K199" t="str">
        <f t="shared" si="59"/>
        <v>Ninguno</v>
      </c>
      <c r="L199">
        <f t="shared" si="60"/>
        <v>0</v>
      </c>
      <c r="M199">
        <f t="shared" si="61"/>
        <v>0</v>
      </c>
      <c r="N199" t="str">
        <f t="shared" si="62"/>
        <v/>
      </c>
      <c r="O199" s="10" t="str">
        <f>+VLOOKUP(Z199,listas!$B:$C,2,0)</f>
        <v>B2C</v>
      </c>
      <c r="P199" s="11">
        <f t="shared" si="63"/>
        <v>45000</v>
      </c>
      <c r="Q199" s="11">
        <f t="shared" si="67"/>
        <v>22689</v>
      </c>
      <c r="R199" s="59">
        <f t="shared" si="64"/>
        <v>7</v>
      </c>
      <c r="S199" s="59">
        <f t="shared" si="65"/>
        <v>15</v>
      </c>
      <c r="T199" s="11">
        <f t="shared" si="66"/>
        <v>1</v>
      </c>
      <c r="U199" s="120" t="s">
        <v>80</v>
      </c>
      <c r="V199" s="120" t="s">
        <v>941</v>
      </c>
      <c r="W199" s="120" t="s">
        <v>916</v>
      </c>
      <c r="X199" s="120" t="s">
        <v>916</v>
      </c>
      <c r="Y199" s="120" t="s">
        <v>650</v>
      </c>
      <c r="Z199" s="120" t="s">
        <v>98</v>
      </c>
      <c r="AA199" s="120" t="s">
        <v>99</v>
      </c>
      <c r="AB199" s="120" t="s">
        <v>4</v>
      </c>
      <c r="AC199" s="120" t="s">
        <v>82</v>
      </c>
      <c r="AD199" s="120" t="s">
        <v>83</v>
      </c>
      <c r="AE199" s="120" t="s">
        <v>84</v>
      </c>
      <c r="AF199" s="120" t="s">
        <v>123</v>
      </c>
      <c r="AG199" s="133">
        <v>45000</v>
      </c>
      <c r="AH199" s="133">
        <v>45000</v>
      </c>
      <c r="AI199" s="133">
        <v>0</v>
      </c>
      <c r="AJ199" s="133">
        <v>0</v>
      </c>
      <c r="AK199" s="133">
        <v>27000</v>
      </c>
      <c r="AL199" s="120" t="s">
        <v>86</v>
      </c>
      <c r="AM199" s="120" t="s">
        <v>86</v>
      </c>
      <c r="AN199" s="120" t="s">
        <v>86</v>
      </c>
      <c r="AO199" s="120" t="s">
        <v>86</v>
      </c>
      <c r="AP199" s="120" t="s">
        <v>86</v>
      </c>
      <c r="AQ199" s="120" t="s">
        <v>942</v>
      </c>
      <c r="AR199" s="120" t="s">
        <v>943</v>
      </c>
      <c r="AS199" s="120" t="s">
        <v>89</v>
      </c>
      <c r="AT199" s="120" t="s">
        <v>89</v>
      </c>
      <c r="AU199" s="120" t="s">
        <v>144</v>
      </c>
      <c r="AV199" s="120" t="s">
        <v>19</v>
      </c>
      <c r="AW199" s="120" t="s">
        <v>92</v>
      </c>
      <c r="AX199" s="120" t="s">
        <v>103</v>
      </c>
      <c r="AY199" s="120">
        <v>0</v>
      </c>
      <c r="AZ199" s="120">
        <v>0</v>
      </c>
      <c r="BA199" s="120" t="s">
        <v>86</v>
      </c>
      <c r="BB199" s="134" t="s">
        <v>944</v>
      </c>
      <c r="BC199" s="120" t="s">
        <v>86</v>
      </c>
    </row>
    <row r="200" spans="1:55" ht="15" customHeight="1">
      <c r="A200" t="str">
        <f>IFERROR(VLOOKUP(AV200,Nómina!B:E,4,0),"")</f>
        <v>PAMELA VERONICA CID NAVIA  </v>
      </c>
      <c r="B200" t="str">
        <f>IFERROR(VLOOKUP(A200,Nómina!E:F,2,0),"")</f>
        <v>8008360-2</v>
      </c>
      <c r="C200" s="30">
        <f t="shared" si="51"/>
        <v>5042</v>
      </c>
      <c r="D200" t="str">
        <f t="shared" si="52"/>
        <v>2026-07-15</v>
      </c>
      <c r="E200" t="str">
        <f t="shared" si="53"/>
        <v>B2C</v>
      </c>
      <c r="F200" t="str">
        <f t="shared" si="54"/>
        <v>Addon</v>
      </c>
      <c r="G200" t="str">
        <f t="shared" si="55"/>
        <v>Individual</v>
      </c>
      <c r="H200" t="str">
        <f t="shared" si="56"/>
        <v>15min</v>
      </c>
      <c r="I200" t="str">
        <f t="shared" si="57"/>
        <v>Reflexología</v>
      </c>
      <c r="J200" t="str">
        <f t="shared" si="58"/>
        <v>LAS CONDES</v>
      </c>
      <c r="K200" t="str">
        <f t="shared" si="59"/>
        <v>Ninguno</v>
      </c>
      <c r="L200">
        <f t="shared" si="60"/>
        <v>0</v>
      </c>
      <c r="M200">
        <f t="shared" si="61"/>
        <v>0</v>
      </c>
      <c r="N200" t="str">
        <f t="shared" si="62"/>
        <v/>
      </c>
      <c r="O200" s="10" t="str">
        <f>+VLOOKUP(Z200,listas!$B:$C,2,0)</f>
        <v>B2C</v>
      </c>
      <c r="P200" s="11">
        <f t="shared" si="63"/>
        <v>10000</v>
      </c>
      <c r="Q200" s="11">
        <f t="shared" si="67"/>
        <v>5042</v>
      </c>
      <c r="R200" s="59">
        <f t="shared" si="64"/>
        <v>7</v>
      </c>
      <c r="S200" s="59">
        <f t="shared" si="65"/>
        <v>15</v>
      </c>
      <c r="T200" s="11">
        <f t="shared" si="66"/>
        <v>1</v>
      </c>
      <c r="U200" s="135" t="s">
        <v>80</v>
      </c>
      <c r="V200" s="135" t="s">
        <v>941</v>
      </c>
      <c r="W200" s="135" t="s">
        <v>916</v>
      </c>
      <c r="X200" s="135" t="s">
        <v>916</v>
      </c>
      <c r="Y200" s="135" t="s">
        <v>650</v>
      </c>
      <c r="Z200" s="135" t="s">
        <v>98</v>
      </c>
      <c r="AA200" s="135" t="s">
        <v>99</v>
      </c>
      <c r="AB200" s="135" t="s">
        <v>4</v>
      </c>
      <c r="AC200" s="135" t="s">
        <v>93</v>
      </c>
      <c r="AD200" s="135" t="s">
        <v>83</v>
      </c>
      <c r="AE200" s="135" t="s">
        <v>94</v>
      </c>
      <c r="AF200" s="135" t="s">
        <v>95</v>
      </c>
      <c r="AG200" s="136">
        <v>10000</v>
      </c>
      <c r="AH200" s="136">
        <v>10000</v>
      </c>
      <c r="AI200" s="136">
        <v>0</v>
      </c>
      <c r="AJ200" s="136">
        <v>0</v>
      </c>
      <c r="AK200" s="136">
        <v>6000</v>
      </c>
      <c r="AL200" s="135" t="s">
        <v>86</v>
      </c>
      <c r="AM200" s="135" t="s">
        <v>86</v>
      </c>
      <c r="AN200" s="135" t="s">
        <v>86</v>
      </c>
      <c r="AO200" s="135" t="s">
        <v>86</v>
      </c>
      <c r="AP200" s="135" t="s">
        <v>86</v>
      </c>
      <c r="AQ200" s="135" t="s">
        <v>942</v>
      </c>
      <c r="AR200" s="135" t="s">
        <v>943</v>
      </c>
      <c r="AS200" s="135" t="s">
        <v>89</v>
      </c>
      <c r="AT200" s="135" t="s">
        <v>89</v>
      </c>
      <c r="AU200" s="135" t="s">
        <v>144</v>
      </c>
      <c r="AV200" s="135" t="s">
        <v>19</v>
      </c>
      <c r="AW200" s="135" t="s">
        <v>92</v>
      </c>
      <c r="AX200" s="135" t="s">
        <v>103</v>
      </c>
      <c r="AY200" s="135">
        <v>0</v>
      </c>
      <c r="AZ200" s="135">
        <v>0</v>
      </c>
      <c r="BA200" s="135" t="s">
        <v>86</v>
      </c>
      <c r="BB200" s="137" t="s">
        <v>944</v>
      </c>
      <c r="BC200" s="135" t="s">
        <v>86</v>
      </c>
    </row>
    <row r="201" spans="1:55" ht="15" customHeight="1">
      <c r="A201" t="str">
        <f>IFERROR(VLOOKUP(AV201,Nómina!B:E,4,0),"")</f>
        <v>PAMELA VERONICA CID NAVIA  </v>
      </c>
      <c r="B201" t="str">
        <f>IFERROR(VLOOKUP(A201,Nómina!E:F,2,0),"")</f>
        <v>8008360-2</v>
      </c>
      <c r="C201" s="30">
        <f t="shared" si="51"/>
        <v>5042</v>
      </c>
      <c r="D201" t="str">
        <f t="shared" si="52"/>
        <v>2026-07-15</v>
      </c>
      <c r="E201" t="str">
        <f t="shared" si="53"/>
        <v>B2C</v>
      </c>
      <c r="F201" t="str">
        <f t="shared" si="54"/>
        <v>Addon</v>
      </c>
      <c r="G201" t="str">
        <f t="shared" si="55"/>
        <v>Individual</v>
      </c>
      <c r="H201" t="str">
        <f t="shared" si="56"/>
        <v>15min</v>
      </c>
      <c r="I201" t="str">
        <f t="shared" si="57"/>
        <v>Craneofacial</v>
      </c>
      <c r="J201" t="str">
        <f t="shared" si="58"/>
        <v>LAS CONDES</v>
      </c>
      <c r="K201" t="str">
        <f t="shared" si="59"/>
        <v>Ninguno</v>
      </c>
      <c r="L201">
        <f t="shared" si="60"/>
        <v>0</v>
      </c>
      <c r="M201">
        <f t="shared" si="61"/>
        <v>0</v>
      </c>
      <c r="N201" t="str">
        <f t="shared" si="62"/>
        <v/>
      </c>
      <c r="O201" s="10" t="str">
        <f>+VLOOKUP(Z201,listas!$B:$C,2,0)</f>
        <v>B2C</v>
      </c>
      <c r="P201" s="11">
        <f t="shared" si="63"/>
        <v>10000</v>
      </c>
      <c r="Q201" s="11">
        <f t="shared" si="67"/>
        <v>5042</v>
      </c>
      <c r="R201" s="59">
        <f t="shared" si="64"/>
        <v>7</v>
      </c>
      <c r="S201" s="59">
        <f t="shared" si="65"/>
        <v>15</v>
      </c>
      <c r="T201" s="11">
        <f t="shared" si="66"/>
        <v>1</v>
      </c>
      <c r="U201" s="135" t="s">
        <v>80</v>
      </c>
      <c r="V201" s="135" t="s">
        <v>941</v>
      </c>
      <c r="W201" s="135" t="s">
        <v>916</v>
      </c>
      <c r="X201" s="135" t="s">
        <v>916</v>
      </c>
      <c r="Y201" s="135" t="s">
        <v>650</v>
      </c>
      <c r="Z201" s="135" t="s">
        <v>98</v>
      </c>
      <c r="AA201" s="135" t="s">
        <v>99</v>
      </c>
      <c r="AB201" s="135" t="s">
        <v>4</v>
      </c>
      <c r="AC201" s="135" t="s">
        <v>93</v>
      </c>
      <c r="AD201" s="135" t="s">
        <v>83</v>
      </c>
      <c r="AE201" s="135" t="s">
        <v>94</v>
      </c>
      <c r="AF201" s="135" t="s">
        <v>96</v>
      </c>
      <c r="AG201" s="136">
        <v>10000</v>
      </c>
      <c r="AH201" s="136">
        <v>10000</v>
      </c>
      <c r="AI201" s="136">
        <v>0</v>
      </c>
      <c r="AJ201" s="136">
        <v>0</v>
      </c>
      <c r="AK201" s="136">
        <v>6000</v>
      </c>
      <c r="AL201" s="135" t="s">
        <v>86</v>
      </c>
      <c r="AM201" s="135" t="s">
        <v>86</v>
      </c>
      <c r="AN201" s="135" t="s">
        <v>86</v>
      </c>
      <c r="AO201" s="135" t="s">
        <v>86</v>
      </c>
      <c r="AP201" s="135" t="s">
        <v>86</v>
      </c>
      <c r="AQ201" s="135" t="s">
        <v>942</v>
      </c>
      <c r="AR201" s="135" t="s">
        <v>943</v>
      </c>
      <c r="AS201" s="135" t="s">
        <v>89</v>
      </c>
      <c r="AT201" s="135" t="s">
        <v>89</v>
      </c>
      <c r="AU201" s="135" t="s">
        <v>144</v>
      </c>
      <c r="AV201" s="135" t="s">
        <v>19</v>
      </c>
      <c r="AW201" s="135" t="s">
        <v>92</v>
      </c>
      <c r="AX201" s="135" t="s">
        <v>103</v>
      </c>
      <c r="AY201" s="135">
        <v>0</v>
      </c>
      <c r="AZ201" s="135">
        <v>0</v>
      </c>
      <c r="BA201" s="135" t="s">
        <v>86</v>
      </c>
      <c r="BB201" s="137" t="s">
        <v>944</v>
      </c>
      <c r="BC201" s="135" t="s">
        <v>86</v>
      </c>
    </row>
  </sheetData>
  <autoFilter ref="A2:BC201" xr:uid="{00000000-0001-0000-0700-000000000000}"/>
  <hyperlinks>
    <hyperlink ref="BB3" r:id="rId1" tooltip="https://admin.scape.mx/appointment/qQB5yF3zyz" xr:uid="{E4FCCFE7-A50E-49A6-ADAF-5186EE762038}"/>
    <hyperlink ref="BB4" r:id="rId2" tooltip="https://admin.scape.mx/appointment/4fSPotDG0D" xr:uid="{C7A00BFB-0F37-438A-A888-96931480A7FE}"/>
    <hyperlink ref="BB5" r:id="rId3" tooltip="https://admin.scape.mx/appointment/B89Wrkf48I" xr:uid="{057C8EC8-2316-4489-9E45-78962803C2EE}"/>
    <hyperlink ref="BB6" r:id="rId4" tooltip="https://admin.scape.mx/appointment/iCSfEb8NDQ" xr:uid="{2A1DDC9D-6F61-47AA-A6A5-1ACF298AF7CB}"/>
    <hyperlink ref="BB7" r:id="rId5" tooltip="https://admin.scape.mx/appointment/YiZcUqymqq" xr:uid="{ADDCB75F-F26E-4B01-908F-4B933F5C0758}"/>
    <hyperlink ref="BB8" r:id="rId6" tooltip="https://admin.scape.mx/appointment/YiZcUqymqq" xr:uid="{A96EE20A-A66E-476B-B558-95EEA53EB793}"/>
    <hyperlink ref="BB9" r:id="rId7" tooltip="https://admin.scape.mx/appointment/JALwUoNm1p" xr:uid="{73EF1D37-5E3F-4006-BCE1-C621C66B59B2}"/>
    <hyperlink ref="BB10" r:id="rId8" tooltip="https://admin.scape.mx/appointment/JALwUoNm1p" xr:uid="{D7A62C70-7A7A-4820-B659-AA94FFC1984F}"/>
    <hyperlink ref="BB11" r:id="rId9" tooltip="https://admin.scape.mx/appointment/JALwUoNm1p" xr:uid="{C988B7EC-9DC9-465B-A82D-C22785EAAF43}"/>
    <hyperlink ref="BB12" r:id="rId10" tooltip="https://admin.scape.mx/appointment/DiEDsDnENu" xr:uid="{4561BF4F-1CE1-4F98-951D-8CA89E4EA8F6}"/>
    <hyperlink ref="BB13" r:id="rId11" tooltip="https://admin.scape.mx/appointment/OVvsoEIs4l" xr:uid="{4CDB9ECE-3AE7-4449-B411-21884FDBE1C6}"/>
    <hyperlink ref="BB14" r:id="rId12" tooltip="https://admin.scape.mx/appointment/OVvsoEIs4l" xr:uid="{856DB633-C198-40F7-89A1-10C8A16F28E6}"/>
    <hyperlink ref="BB15" r:id="rId13" tooltip="https://admin.scape.mx/appointment/OVvsoEIs4l" xr:uid="{85F97C11-67DE-4236-8E69-023F6DC54E4A}"/>
    <hyperlink ref="BB16" r:id="rId14" tooltip="https://admin.scape.mx/appointment/JMMJCArMNY" xr:uid="{33C24C73-7AA0-406C-8BC5-CDDCD68D7DC7}"/>
    <hyperlink ref="BB17" r:id="rId15" tooltip="https://admin.scape.mx/appointment/JMMJCArMNY" xr:uid="{01D0EA5F-6A85-4EFD-9190-D3681072FD1C}"/>
    <hyperlink ref="BB18" r:id="rId16" tooltip="https://admin.scape.mx/appointment/qSdRlkTh8N" xr:uid="{00F223B9-F998-411A-A91F-D46424BC4218}"/>
    <hyperlink ref="BB19" r:id="rId17" tooltip="https://admin.scape.mx/appointment/qSdRlkTh8N" xr:uid="{F317F7DC-8792-4BF2-824E-51E4AD369CE6}"/>
    <hyperlink ref="BB20" r:id="rId18" tooltip="https://admin.scape.mx/appointment/qSdRlkTh8N" xr:uid="{4C3B38C6-E53B-4CEF-86CA-94C4EDADD35F}"/>
    <hyperlink ref="BB21" r:id="rId19" tooltip="https://admin.scape.mx/appointment/he0VwsjaVz" xr:uid="{D8128167-4242-45F4-8FC3-C614F67CC17E}"/>
    <hyperlink ref="BB22" r:id="rId20" tooltip="https://admin.scape.mx/appointment/he0VwsjaVz" xr:uid="{4C5CFAED-462F-4D40-89DF-B475660FCA97}"/>
    <hyperlink ref="BB23" r:id="rId21" tooltip="https://admin.scape.mx/appointment/cXSA6nSHl9" xr:uid="{9D878AD4-0B4D-482E-84DD-4BEE169AC0B0}"/>
    <hyperlink ref="BB24" r:id="rId22" tooltip="https://admin.scape.mx/appointment/cXSA6nSHl9" xr:uid="{05ABED2D-6781-4CB1-9EA3-F5D763CA4239}"/>
    <hyperlink ref="BB25" r:id="rId23" tooltip="https://admin.scape.mx/appointment/NmuDkPTrB2" xr:uid="{4C949268-4699-4039-AB1B-7A4513AC8594}"/>
    <hyperlink ref="BB26" r:id="rId24" tooltip="https://admin.scape.mx/appointment/NmuDkPTrB2" xr:uid="{75F1CBF0-958C-4404-85E5-19DD84DB46C4}"/>
    <hyperlink ref="BB27" r:id="rId25" tooltip="https://admin.scape.mx/appointment/NmuDkPTrB2" xr:uid="{F9842B83-76B9-4E62-9ED7-8A24545FC32B}"/>
    <hyperlink ref="BB28" r:id="rId26" tooltip="https://admin.scape.mx/appointment/p0HcFVREjH" xr:uid="{4F38BCFE-D9FF-43C4-8F18-E690BD697E62}"/>
    <hyperlink ref="BB29" r:id="rId27" tooltip="https://admin.scape.mx/appointment/p0HcFVREjH" xr:uid="{4806E569-7F0F-4173-82F9-CB38607AA487}"/>
    <hyperlink ref="BB30" r:id="rId28" tooltip="https://admin.scape.mx/appointment/dSUS13gdIr" xr:uid="{AF9A70E5-BB65-4719-9AD4-C09C102A5215}"/>
    <hyperlink ref="BB31" r:id="rId29" tooltip="https://admin.scape.mx/appointment/dSUS13gdIr" xr:uid="{023D011A-061C-43DB-9265-9ADCD2E9FCF7}"/>
    <hyperlink ref="BB32" r:id="rId30" tooltip="https://admin.scape.mx/appointment/dSUS13gdIr" xr:uid="{7769B3F0-4235-4C5A-94FF-2F8FC71C3E33}"/>
    <hyperlink ref="BB33" r:id="rId31" tooltip="https://admin.scape.mx/appointment/EHdpqUBPub" xr:uid="{B24085E9-5288-4B6A-8ADA-E91EEC722DF9}"/>
    <hyperlink ref="BB34" r:id="rId32" tooltip="https://admin.scape.mx/appointment/EHdpqUBPub" xr:uid="{A8B6B699-62E4-4DE7-B47D-C8E6D61818A6}"/>
    <hyperlink ref="BB35" r:id="rId33" tooltip="https://admin.scape.mx/appointment/GwE96WbytL" xr:uid="{9A446BDC-3333-4675-979C-8374CD4617CA}"/>
    <hyperlink ref="BB36" r:id="rId34" tooltip="https://admin.scape.mx/appointment/GwE96WbytL" xr:uid="{CD521708-D555-4DB2-8978-4ADA9CDCF069}"/>
    <hyperlink ref="BB37" r:id="rId35" tooltip="https://admin.scape.mx/appointment/GwE96WbytL" xr:uid="{42B61645-AF7B-440E-B676-BC7BE18A8F6F}"/>
    <hyperlink ref="BB38" r:id="rId36" tooltip="https://admin.scape.mx/appointment/GwE96WbytL" xr:uid="{14206A50-DFBC-44AE-BF61-4E99A00035DF}"/>
    <hyperlink ref="BB39" r:id="rId37" tooltip="https://admin.scape.mx/appointment/DA49CCE7eY" xr:uid="{CA10133B-7EEB-4ACF-812D-395144C4DC6E}"/>
    <hyperlink ref="BB40" r:id="rId38" tooltip="https://admin.scape.mx/appointment/DA49CCE7eY" xr:uid="{59BF29E7-097D-4B0B-8A1C-9A06C13E0E84}"/>
    <hyperlink ref="BB41" r:id="rId39" tooltip="https://admin.scape.mx/appointment/DA49CCE7eY" xr:uid="{6CABDCDD-BF19-437E-B230-20E052B0144F}"/>
    <hyperlink ref="BB42" r:id="rId40" tooltip="https://admin.scape.mx/appointment/DA49CCE7eY" xr:uid="{B062E2A9-D4AD-4DBB-A591-33319E73C394}"/>
    <hyperlink ref="BB43" r:id="rId41" tooltip="https://admin.scape.mx/appointment/DA49CCE7eY" xr:uid="{6E273A09-B360-4486-854A-07A2989F896D}"/>
    <hyperlink ref="BB44" r:id="rId42" tooltip="https://admin.scape.mx/appointment/DA49CCE7eY" xr:uid="{5BB7DD88-CA25-4C1F-AAFE-85CD9C9BB728}"/>
    <hyperlink ref="BB45" r:id="rId43" tooltip="https://admin.scape.mx/appointment/JXIxrxpmXj" xr:uid="{3CA4F7AC-2638-483A-89FE-7C1B4D68941C}"/>
    <hyperlink ref="BB46" r:id="rId44" tooltip="https://admin.scape.mx/appointment/JXIxrxpmXj" xr:uid="{F851AE2A-7B98-42CA-B6B5-7B3999B0E351}"/>
    <hyperlink ref="BB47" r:id="rId45" tooltip="https://admin.scape.mx/appointment/JXIxrxpmXj" xr:uid="{2122448C-3717-4099-8709-4559CEEB64E4}"/>
    <hyperlink ref="BB48" r:id="rId46" tooltip="https://admin.scape.mx/appointment/9O09EUNT36" xr:uid="{DAA495E4-85AF-44F8-A88B-5B1D13BB9CE5}"/>
    <hyperlink ref="BB49" r:id="rId47" tooltip="https://admin.scape.mx/appointment/9O09EUNT36" xr:uid="{5980ED8B-73BF-4DE3-90C8-5A4DA4A378F3}"/>
    <hyperlink ref="BB50" r:id="rId48" tooltip="https://admin.scape.mx/appointment/9O09EUNT36" xr:uid="{EAFF7347-8DAA-4B89-B197-8E34E731BE17}"/>
    <hyperlink ref="BB51" r:id="rId49" tooltip="https://admin.scape.mx/appointment/Y7d3vFYUeW" xr:uid="{44484D6E-C381-4FAF-8417-C6308BCE5A85}"/>
    <hyperlink ref="BB52" r:id="rId50" tooltip="https://admin.scape.mx/appointment/Y7d3vFYUeW" xr:uid="{B2F6906F-F890-4EEE-88E3-2DDC8E5FD653}"/>
    <hyperlink ref="BB53" r:id="rId51" tooltip="https://admin.scape.mx/appointment/Y7d3vFYUeW" xr:uid="{A8498C02-9272-4677-A455-F435F5B8ADE1}"/>
    <hyperlink ref="BB54" r:id="rId52" tooltip="https://admin.scape.mx/appointment/cpWnUpdqqG" xr:uid="{ADA65804-CB0C-432F-9A1C-DEE071241593}"/>
    <hyperlink ref="BB55" r:id="rId53" tooltip="https://admin.scape.mx/appointment/cpWnUpdqqG" xr:uid="{1A66114C-057F-4076-B1C9-9392014C8440}"/>
    <hyperlink ref="BB56" r:id="rId54" tooltip="https://admin.scape.mx/appointment/Wa0dgh1dV2" xr:uid="{D77B5492-3C70-4E59-A1A2-974C5B2A43AB}"/>
    <hyperlink ref="BB57" r:id="rId55" tooltip="https://admin.scape.mx/appointment/BP7Y3AcaKp" xr:uid="{B8F8D190-A98E-44CE-9B2D-F494EB6CF15F}"/>
    <hyperlink ref="BB58" r:id="rId56" tooltip="https://admin.scape.mx/appointment/BzikGz0h23" xr:uid="{EE689013-1106-4F1F-9FBC-958353D21118}"/>
    <hyperlink ref="BB59" r:id="rId57" tooltip="https://admin.scape.mx/appointment/1zZm6yVbHg" xr:uid="{4178B749-874C-4397-98E6-E6D508F939C4}"/>
    <hyperlink ref="BB60" r:id="rId58" tooltip="https://admin.scape.mx/appointment/UFgL1FmQrC" xr:uid="{9BF0956F-7B5F-4012-87B6-82DB04384C1D}"/>
    <hyperlink ref="BB61" r:id="rId59" tooltip="https://admin.scape.mx/appointment/UFgL1FmQrC" xr:uid="{2CE16754-4346-4C2C-A855-F1F17DABB9BD}"/>
    <hyperlink ref="BB62" r:id="rId60" tooltip="https://admin.scape.mx/appointment/ok1hoQ8uxM" xr:uid="{5121DEC3-3D8B-45F9-AE12-91849E9A23E8}"/>
    <hyperlink ref="BB63" r:id="rId61" tooltip="https://admin.scape.mx/appointment/ok1hoQ8uxM" xr:uid="{53B54D5B-256D-4A72-B039-960F1377B10E}"/>
    <hyperlink ref="BB64" r:id="rId62" tooltip="https://admin.scape.mx/appointment/ok1hoQ8uxM" xr:uid="{019E69D7-B5C0-4B86-B7D0-969B20B10768}"/>
    <hyperlink ref="BB65" r:id="rId63" tooltip="https://admin.scape.mx/appointment/403utqoTwQ" xr:uid="{D8147F4D-3254-4E01-96F9-002456B66980}"/>
    <hyperlink ref="BB66" r:id="rId64" tooltip="https://admin.scape.mx/appointment/403utqoTwQ" xr:uid="{34576DF3-F325-4DB7-B7F3-D5C2C1ABB42B}"/>
    <hyperlink ref="BB67" r:id="rId65" tooltip="https://admin.scape.mx/appointment/7hPNZ9C9bX" xr:uid="{B6EFFAB5-9C0A-434B-A1FD-6837F9968E3B}"/>
    <hyperlink ref="BB68" r:id="rId66" tooltip="https://admin.scape.mx/appointment/nSqJI9AD3n" xr:uid="{ACF93ADE-8080-449D-8EDE-BD824A91878C}"/>
    <hyperlink ref="BB69" r:id="rId67" tooltip="https://admin.scape.mx/appointment/nSqJI9AD3n" xr:uid="{06E6BE06-8BEB-4003-8F56-5FE676765569}"/>
    <hyperlink ref="BB70" r:id="rId68" tooltip="https://admin.scape.mx/appointment/yMaLlR9YPD" xr:uid="{7F5970D0-EB96-4894-B822-21798E66E0FF}"/>
    <hyperlink ref="BB71" r:id="rId69" tooltip="https://admin.scape.mx/appointment/HtVfGeRM7N" xr:uid="{3191D24B-BC60-41F5-B1E7-601D58081039}"/>
    <hyperlink ref="BB72" r:id="rId70" tooltip="https://admin.scape.mx/appointment/HtVfGeRM7N" xr:uid="{8AC9FBF7-907D-45D9-986F-5F4CE0F5C1E2}"/>
    <hyperlink ref="BB73" r:id="rId71" tooltip="https://admin.scape.mx/appointment/hJfk1FipGO" xr:uid="{64BC76F9-A6F2-4301-88B3-E957DA12B957}"/>
    <hyperlink ref="BB74" r:id="rId72" tooltip="https://admin.scape.mx/appointment/G5NBCZMr3m" xr:uid="{E3C45837-D616-4764-9AB7-225F246D4988}"/>
    <hyperlink ref="BB75" r:id="rId73" tooltip="https://admin.scape.mx/appointment/G5NBCZMr3m" xr:uid="{4EBFBFEC-5E77-43FA-B2B5-579E92869036}"/>
    <hyperlink ref="BB76" r:id="rId74" tooltip="https://admin.scape.mx/appointment/G5NBCZMr3m" xr:uid="{0F7AFB58-1320-49D0-8E5B-2023420D8EDE}"/>
    <hyperlink ref="BB77" r:id="rId75" tooltip="https://admin.scape.mx/appointment/Y7brrKvrBZ" xr:uid="{30A4AFF2-F4D8-4924-ABA0-7861A391B57E}"/>
    <hyperlink ref="BB78" r:id="rId76" tooltip="https://admin.scape.mx/appointment/Y7brrKvrBZ" xr:uid="{E883F9BA-2649-4913-B029-13D6FEFDC68E}"/>
    <hyperlink ref="BB79" r:id="rId77" tooltip="https://admin.scape.mx/appointment/6wiUzuzZjI" xr:uid="{1A0EA894-EF32-4A57-A783-BDEB603CA457}"/>
    <hyperlink ref="BB80" r:id="rId78" tooltip="https://admin.scape.mx/appointment/bB9iI1qKAi" xr:uid="{947CE857-2310-44CB-99A3-35408B67CFA6}"/>
    <hyperlink ref="BB81" r:id="rId79" tooltip="https://admin.scape.mx/appointment/4A9VSDFdqG" xr:uid="{E782D6C8-1C63-4DFF-913A-92899E97FD7B}"/>
    <hyperlink ref="BB82" r:id="rId80" tooltip="https://admin.scape.mx/appointment/BwmlYA6jXv" xr:uid="{6BDDC66D-02F6-4B5D-9904-B0385A112B60}"/>
    <hyperlink ref="BB83" r:id="rId81" tooltip="https://admin.scape.mx/appointment/h1XUfdINFo" xr:uid="{529BADE6-B669-4BC3-9748-E7A69E3A742A}"/>
    <hyperlink ref="BB84" r:id="rId82" tooltip="https://admin.scape.mx/appointment/8fyu0S1PRy" xr:uid="{40F5875D-F22F-4095-A2E7-636B14155C38}"/>
    <hyperlink ref="BB85" r:id="rId83" tooltip="https://admin.scape.mx/appointment/tt9jffqRFW" xr:uid="{13B7EFFC-B46E-403B-9392-1D01C03E2473}"/>
    <hyperlink ref="BB86" r:id="rId84" tooltip="https://admin.scape.mx/appointment/oDK8WaQdmR" xr:uid="{7E128AC1-0A36-4C81-8361-DE0BD813C9FD}"/>
    <hyperlink ref="BB87" r:id="rId85" tooltip="https://admin.scape.mx/appointment/Ltwl503bgi" xr:uid="{28FC0A47-8A59-4E8A-A1E7-3B6ADCB89AC4}"/>
    <hyperlink ref="BB88" r:id="rId86" tooltip="https://admin.scape.mx/appointment/xYcNUbSpLF" xr:uid="{D67980DC-9DA2-4F6C-AE8A-76C0D4AF439E}"/>
    <hyperlink ref="BB89" r:id="rId87" tooltip="https://admin.scape.mx/appointment/ZlDpW6rdvl" xr:uid="{C8A61E7B-AF83-4D8B-A5DB-43721BB22102}"/>
    <hyperlink ref="BB90" r:id="rId88" tooltip="https://admin.scape.mx/appointment/5tkgBzNkXR" xr:uid="{B0689BF5-C517-4E32-97DB-791018D36734}"/>
    <hyperlink ref="BB91" r:id="rId89" tooltip="https://admin.scape.mx/appointment/uSz0k9wWsk" xr:uid="{982A9FB8-E19E-4C7D-9834-DE7EE6640626}"/>
    <hyperlink ref="BB92" r:id="rId90" tooltip="https://admin.scape.mx/appointment/uSz0k9wWsk" xr:uid="{E4325541-35CB-40BD-BD70-4C0A0A314A89}"/>
    <hyperlink ref="BB93" r:id="rId91" tooltip="https://admin.scape.mx/appointment/4BePcXFwV4" xr:uid="{61AC7B00-A05C-4EB9-87CB-681FE0B0140C}"/>
    <hyperlink ref="BB94" r:id="rId92" tooltip="https://admin.scape.mx/appointment/36GqosOOeh" xr:uid="{37D4BA86-D6E7-4881-85F8-FE4115F997CD}"/>
    <hyperlink ref="BB95" r:id="rId93" tooltip="https://admin.scape.mx/appointment/dHtEEFzJbT" xr:uid="{CBF8CE56-5E9F-46A2-9A4D-22A8FB55CD6B}"/>
    <hyperlink ref="BB96" r:id="rId94" tooltip="https://admin.scape.mx/appointment/Z9K5Kn83x4" xr:uid="{02A39B96-F916-4239-9005-AE79EEA1098F}"/>
    <hyperlink ref="BB97" r:id="rId95" tooltip="https://admin.scape.mx/appointment/CMdVLrIndo" xr:uid="{FCB3967C-66C5-40B2-865B-061F46FD2E3C}"/>
    <hyperlink ref="BB98" r:id="rId96" tooltip="https://admin.scape.mx/appointment/YHGNM81wjL" xr:uid="{AE2F2656-421F-4A06-8860-FA96C5790E2B}"/>
    <hyperlink ref="BB99" r:id="rId97" tooltip="https://admin.scape.mx/appointment/YHGNM81wjL" xr:uid="{7321E398-26C8-4942-9B38-377FC5B77632}"/>
    <hyperlink ref="BB100" r:id="rId98" tooltip="https://admin.scape.mx/appointment/YHGNM81wjL" xr:uid="{305B8572-6208-40C0-B4E1-93DD052C27D0}"/>
    <hyperlink ref="BB101" r:id="rId99" tooltip="https://admin.scape.mx/appointment/YHGNM81wjL" xr:uid="{D9C6CCED-3C6D-491A-848E-FA92F33E1DFA}"/>
    <hyperlink ref="BB102" r:id="rId100" tooltip="https://admin.scape.mx/appointment/LDTpydLOFi" xr:uid="{874E5B82-F2D4-47A7-8ACC-A507E27B8B28}"/>
    <hyperlink ref="BB103" r:id="rId101" tooltip="https://admin.scape.mx/appointment/tbaIoxKRgt" xr:uid="{828B1A45-FF56-4864-BC06-4492884D3A46}"/>
    <hyperlink ref="BB104" r:id="rId102" tooltip="https://admin.scape.mx/appointment/vFVG1Q8f6Q" xr:uid="{B375BA46-E2F2-43B6-BCC4-E370320518B4}"/>
    <hyperlink ref="BB105" r:id="rId103" tooltip="https://admin.scape.mx/appointment/vFVG1Q8f6Q" xr:uid="{B9266397-A169-48FA-B802-70FF7AE53A4E}"/>
    <hyperlink ref="BB106" r:id="rId104" tooltip="https://admin.scape.mx/appointment/HivR8PUPaG" xr:uid="{DBB2B230-E1C8-4A6B-A045-71655A91944B}"/>
    <hyperlink ref="BB107" r:id="rId105" tooltip="https://admin.scape.mx/appointment/HivR8PUPaG" xr:uid="{6DFF8F3A-EC55-4993-98F7-F5D7B94E2CA7}"/>
    <hyperlink ref="BB108" r:id="rId106" tooltip="https://admin.scape.mx/appointment/HivR8PUPaG" xr:uid="{DF10257E-4AB1-44A9-B68A-F26157341465}"/>
    <hyperlink ref="BB109" r:id="rId107" tooltip="https://admin.scape.mx/appointment/HivR8PUPaG" xr:uid="{C80FC1E2-6C05-4AC2-9E5F-83AA65BC7DE3}"/>
    <hyperlink ref="BB110" r:id="rId108" tooltip="https://admin.scape.mx/appointment/kljGFJJFFC" xr:uid="{74622936-64D6-4DFA-98BF-8A2A186F75A3}"/>
    <hyperlink ref="BB111" r:id="rId109" tooltip="https://admin.scape.mx/appointment/kljGFJJFFC" xr:uid="{F9D0E3C0-3323-4901-94C9-378F55E02218}"/>
    <hyperlink ref="BB112" r:id="rId110" tooltip="https://admin.scape.mx/appointment/LP9Ka8QI8b" xr:uid="{0B9BF321-57B2-4B1C-A575-517E34ACAEB0}"/>
    <hyperlink ref="BB113" r:id="rId111" tooltip="https://admin.scape.mx/appointment/LP9Ka8QI8b" xr:uid="{1CA0B9BF-C735-412C-A0AA-A8D143B38CF7}"/>
    <hyperlink ref="BB114" r:id="rId112" tooltip="https://admin.scape.mx/appointment/3gY3FASMtX" xr:uid="{D57D58E3-F1A9-4EE9-B6FE-A00F2C027152}"/>
    <hyperlink ref="BB115" r:id="rId113" tooltip="https://admin.scape.mx/appointment/3gY3FASMtX" xr:uid="{B2F7670E-1134-4129-BBC9-62D401CB8B27}"/>
    <hyperlink ref="BB116" r:id="rId114" tooltip="https://admin.scape.mx/appointment/3gY3FASMtX" xr:uid="{844C6EB2-B414-447C-973D-724C01818F91}"/>
    <hyperlink ref="BB117" r:id="rId115" tooltip="https://admin.scape.mx/appointment/3gY3FASMtX" xr:uid="{737164C1-A9A8-45B5-A77D-FAA976A193C2}"/>
    <hyperlink ref="BB118" r:id="rId116" tooltip="https://admin.scape.mx/appointment/EmCfNpZZ5A" xr:uid="{E7BDD644-A6B1-4D51-A2D8-AE95AD64C614}"/>
    <hyperlink ref="BB119" r:id="rId117" tooltip="https://admin.scape.mx/appointment/EmCfNpZZ5A" xr:uid="{25537D41-F967-40F5-93FF-270D5EEDE1AE}"/>
    <hyperlink ref="BB120" r:id="rId118" tooltip="https://admin.scape.mx/appointment/EmCfNpZZ5A" xr:uid="{35B83A79-79DA-4EE3-ABC6-A3FF08CB8E9D}"/>
    <hyperlink ref="BB121" r:id="rId119" tooltip="https://admin.scape.mx/appointment/EmCfNpZZ5A" xr:uid="{F4492613-591E-434C-BD56-8787F758924D}"/>
    <hyperlink ref="BB122" r:id="rId120" tooltip="https://admin.scape.mx/appointment/QkPEJWSliB" xr:uid="{3E7AE337-559F-4488-9033-9FF9A21BBEBE}"/>
    <hyperlink ref="BB123" r:id="rId121" tooltip="https://admin.scape.mx/appointment/QkPEJWSliB" xr:uid="{72748E2C-0CDC-48F6-BCA7-4D98F4D7DE4B}"/>
    <hyperlink ref="BB124" r:id="rId122" tooltip="https://admin.scape.mx/appointment/6FTYtJD1f8" xr:uid="{392D7E6F-F559-4704-A45A-DA0495E88DE9}"/>
    <hyperlink ref="BB125" r:id="rId123" tooltip="https://admin.scape.mx/appointment/6FTYtJD1f8" xr:uid="{F3E54711-180F-49D4-9539-8988AC93622A}"/>
    <hyperlink ref="BB126" r:id="rId124" tooltip="https://admin.scape.mx/appointment/6FTYtJD1f8" xr:uid="{838DE51B-89B9-4132-B6E6-6B11EEEB94DC}"/>
    <hyperlink ref="BB129" r:id="rId125" tooltip="https://admin.scape.mx/appointment/6FTYtJD1f8" xr:uid="{34AFD75C-F4A3-4192-A3F6-7F0ED450D0FE}"/>
    <hyperlink ref="BB130" r:id="rId126" tooltip="https://admin.scape.mx/appointment/6FTYtJD1f8" xr:uid="{F7AA1F2C-193A-47B2-8754-A9794202911B}"/>
    <hyperlink ref="BB131" r:id="rId127" tooltip="https://admin.scape.mx/appointment/i4CKJB7Ff5" xr:uid="{CEE8B2EB-30E1-481E-B0AD-F460B9A531DD}"/>
    <hyperlink ref="BB132" r:id="rId128" tooltip="https://admin.scape.mx/appointment/i4CKJB7Ff5" xr:uid="{B44567F6-07CE-4BAE-9898-1DD7DF17F114}"/>
    <hyperlink ref="BB133" r:id="rId129" tooltip="https://admin.scape.mx/appointment/i4CKJB7Ff5" xr:uid="{0704C610-F5D3-4784-9FE0-2583938383BA}"/>
    <hyperlink ref="BB134" r:id="rId130" tooltip="https://admin.scape.mx/appointment/a5HcXFvkq9" xr:uid="{8B481081-D8C6-4BE7-A85C-4274C8ABA644}"/>
    <hyperlink ref="BB135" r:id="rId131" tooltip="https://admin.scape.mx/appointment/a5HcXFvkq9" xr:uid="{B211B8C1-BF7D-49FA-970B-C187270E4336}"/>
    <hyperlink ref="BB136" r:id="rId132" tooltip="https://admin.scape.mx/appointment/Usiht8Me93" xr:uid="{B6AFE140-3E16-4993-B8F2-6455E3FA7F44}"/>
    <hyperlink ref="BB137" r:id="rId133" tooltip="https://admin.scape.mx/appointment/Usiht8Me93" xr:uid="{08F6AA2D-BA95-4679-89ED-D8F44C6F8267}"/>
    <hyperlink ref="BB138" r:id="rId134" tooltip="https://admin.scape.mx/appointment/HOGaEN3F5f" xr:uid="{790CB97C-472D-440B-865A-CA362013EB3C}"/>
    <hyperlink ref="BB139" r:id="rId135" tooltip="https://admin.scape.mx/appointment/HOGaEN3F5f" xr:uid="{B99DC245-2EDD-4BA6-89E6-96194557C86F}"/>
    <hyperlink ref="BB140" r:id="rId136" tooltip="https://admin.scape.mx/appointment/1bLUHY4XLn" xr:uid="{667B62E5-C1E8-4BEF-A7B0-5D0746DD3013}"/>
    <hyperlink ref="BB141" r:id="rId137" tooltip="https://admin.scape.mx/appointment/UQOi4AvhkG" xr:uid="{A3B51E01-BD12-449C-A7D0-5892EE26BA11}"/>
    <hyperlink ref="BB142" r:id="rId138" tooltip="https://admin.scape.mx/appointment/UQOi4AvhkG" xr:uid="{95DD9199-015D-4C0D-8B7E-2D79467B1E25}"/>
    <hyperlink ref="BB143" r:id="rId139" tooltip="https://admin.scape.mx/appointment/UQOi4AvhkG" xr:uid="{99946811-FD8D-46EE-85BE-428E151BEFFF}"/>
    <hyperlink ref="BB144" r:id="rId140" tooltip="https://admin.scape.mx/appointment/UQOi4AvhkG" xr:uid="{FDD9052E-AE6A-4F22-9B38-97E477E94EC5}"/>
    <hyperlink ref="BB145" r:id="rId141" tooltip="https://admin.scape.mx/appointment/RE7GDHWz6W" xr:uid="{34AACC0D-F6C4-4BCE-AEFF-97D6ACF87B08}"/>
    <hyperlink ref="BB146" r:id="rId142" tooltip="https://admin.scape.mx/appointment/RE7GDHWz6W" xr:uid="{7A59958D-39E9-4868-B078-018BBE6BC90B}"/>
    <hyperlink ref="BB147" r:id="rId143" tooltip="https://admin.scape.mx/appointment/RE7GDHWz6W" xr:uid="{82E319CC-6E83-4C80-B636-BF26EB087EA3}"/>
    <hyperlink ref="BB148" r:id="rId144" tooltip="https://admin.scape.mx/appointment/8C860vOr1A" xr:uid="{789AA80C-70AC-4862-9C21-85B538A940AB}"/>
    <hyperlink ref="BB149" r:id="rId145" tooltip="https://admin.scape.mx/appointment/8C860vOr1A" xr:uid="{98DB31C7-67EF-4715-9F59-9745B1B323D6}"/>
    <hyperlink ref="BB150" r:id="rId146" tooltip="https://admin.scape.mx/appointment/oWqCDZOTmn" xr:uid="{D2CF6B91-5495-4364-8468-FD3237C22FF6}"/>
    <hyperlink ref="BB151" r:id="rId147" tooltip="https://admin.scape.mx/appointment/oWqCDZOTmn" xr:uid="{9F6BBB8B-FCB3-48CD-A1BE-822AF4970823}"/>
    <hyperlink ref="BB152" r:id="rId148" tooltip="https://admin.scape.mx/appointment/6jwHc734rJ" xr:uid="{BF7F1101-FE06-4055-8CCA-56E8516D5E2D}"/>
    <hyperlink ref="BB153" r:id="rId149" tooltip="https://admin.scape.mx/appointment/6jwHc734rJ" xr:uid="{D7EE4B57-286B-461F-B8FC-25303794FF0A}"/>
    <hyperlink ref="BB154" r:id="rId150" tooltip="https://admin.scape.mx/appointment/6jwHc734rJ" xr:uid="{1A21F66C-DAB0-4CC2-8447-9FCC54F532B1}"/>
    <hyperlink ref="BB155" r:id="rId151" tooltip="https://admin.scape.mx/appointment/6jwHc734rJ" xr:uid="{3188E7CB-0E85-4CA9-B34E-29FDDAA37C6C}"/>
    <hyperlink ref="BB156" r:id="rId152" tooltip="https://admin.scape.mx/appointment/6jwHc734rJ" xr:uid="{5751F98D-5150-4781-B194-1666B4C2EE38}"/>
    <hyperlink ref="BB157" r:id="rId153" tooltip="https://admin.scape.mx/appointment/6jwHc734rJ" xr:uid="{180C1806-B0C9-4743-A9C5-F10A5ABADB27}"/>
    <hyperlink ref="BB158" r:id="rId154" tooltip="https://admin.scape.mx/appointment/z09DRhkvxi" xr:uid="{AEC70DBF-A64D-4CF2-95CC-763577C98743}"/>
    <hyperlink ref="BB159" r:id="rId155" tooltip="https://admin.scape.mx/appointment/zknLjdFLLH" xr:uid="{D35EE568-425C-4F95-9590-4A19E8B4B398}"/>
    <hyperlink ref="BB160" r:id="rId156" tooltip="https://admin.scape.mx/appointment/zknLjdFLLH" xr:uid="{E9984868-DE35-44F9-B009-75543E1590CB}"/>
    <hyperlink ref="BB161" r:id="rId157" tooltip="https://admin.scape.mx/appointment/fZ3YVHUfxh" xr:uid="{034E6785-1C5A-4D37-9C57-6BBD8282C17E}"/>
    <hyperlink ref="BB162" r:id="rId158" tooltip="https://admin.scape.mx/appointment/fZ3YVHUfxh" xr:uid="{0D3884E5-DB84-4856-846D-480BD1DC063C}"/>
    <hyperlink ref="BB163" r:id="rId159" tooltip="https://admin.scape.mx/appointment/fZ3YVHUfxh" xr:uid="{3FF7F300-4050-4FC4-824A-4FBEF2C6D304}"/>
    <hyperlink ref="BB164" r:id="rId160" tooltip="https://admin.scape.mx/appointment/fZ3YVHUfxh" xr:uid="{3D0194E4-AA11-4695-82E9-EC4E5F294011}"/>
    <hyperlink ref="BB165" r:id="rId161" tooltip="https://admin.scape.mx/appointment/fZ3YVHUfxh" xr:uid="{8F28425F-A76B-429A-9747-C0B42CFFA893}"/>
    <hyperlink ref="BB166" r:id="rId162" tooltip="https://admin.scape.mx/appointment/fZ3YVHUfxh" xr:uid="{520FD354-8831-4D30-BA31-2455D165C098}"/>
    <hyperlink ref="BB167" r:id="rId163" tooltip="https://admin.scape.mx/appointment/zFij25jooZ" xr:uid="{A6F7F373-AD8F-46CD-B216-0BA1754A6D3B}"/>
    <hyperlink ref="BB168" r:id="rId164" tooltip="https://admin.scape.mx/appointment/zFij25jooZ" xr:uid="{93E2FE1B-31FB-4D8D-A234-5AC0F7E5EBA4}"/>
    <hyperlink ref="BB169" r:id="rId165" tooltip="https://admin.scape.mx/appointment/zFij25jooZ" xr:uid="{544332B5-EFA2-4605-99E9-658EA22C53DD}"/>
    <hyperlink ref="BB170" r:id="rId166" tooltip="https://admin.scape.mx/appointment/zFij25jooZ" xr:uid="{2A445BD4-57F8-4A65-9A54-7BCEAABD29C9}"/>
    <hyperlink ref="BB171" r:id="rId167" tooltip="https://admin.scape.mx/appointment/fgPcbhXou5" xr:uid="{C4022E18-F19C-40FB-88F2-02387CC58222}"/>
    <hyperlink ref="BB172" r:id="rId168" tooltip="https://admin.scape.mx/appointment/fgPcbhXou5" xr:uid="{5FAEE9B2-B93D-47AA-95A6-DC72E2D6F0FD}"/>
    <hyperlink ref="BB173" r:id="rId169" tooltip="https://admin.scape.mx/appointment/qSJexfPlB2" xr:uid="{C51946D5-B242-4A73-A004-7740861E1A66}"/>
    <hyperlink ref="BB174" r:id="rId170" tooltip="https://admin.scape.mx/appointment/VdKdnadJ9o" xr:uid="{3323E92F-18A2-4EAA-9A72-43AB2809F366}"/>
    <hyperlink ref="BB175" r:id="rId171" tooltip="https://admin.scape.mx/appointment/VdKdnadJ9o" xr:uid="{A401D88C-8BE5-4612-A180-D974ED504EEA}"/>
    <hyperlink ref="BB176" r:id="rId172" tooltip="https://admin.scape.mx/appointment/cRohk4Cjbd" xr:uid="{1CA08790-DE61-4DD0-AA6D-06A9C703CCD5}"/>
    <hyperlink ref="BB177" r:id="rId173" tooltip="https://admin.scape.mx/appointment/cRohk4Cjbd" xr:uid="{78F74DF2-5AF9-4690-B096-47038DA20141}"/>
    <hyperlink ref="BB178" r:id="rId174" tooltip="https://admin.scape.mx/appointment/qDZDXmCUjJ" xr:uid="{92370920-FCB8-423B-8FF4-92FE7643A254}"/>
    <hyperlink ref="BB179" r:id="rId175" tooltip="https://admin.scape.mx/appointment/VWDix9i8AW" xr:uid="{0312925F-9024-41DD-9B17-F95BB0835B7E}"/>
    <hyperlink ref="BB180" r:id="rId176" tooltip="https://admin.scape.mx/appointment/RGzB0FemFn" xr:uid="{5D315411-EBDF-4659-ACE0-0CC06FB95155}"/>
    <hyperlink ref="BB181" r:id="rId177" tooltip="https://admin.scape.mx/appointment/lDVk6zlLnD" xr:uid="{014D2EC4-0272-4F6C-AB41-279B814C51EB}"/>
    <hyperlink ref="BB182" r:id="rId178" tooltip="https://admin.scape.mx/appointment/lDVk6zlLnD" xr:uid="{EB5C0304-2EDA-4525-8F17-1BA07B9F98D9}"/>
    <hyperlink ref="BB183" r:id="rId179" tooltip="https://admin.scape.mx/appointment/lDVk6zlLnD" xr:uid="{4043D42B-1E02-40D9-9B1B-5F04BC3D3527}"/>
    <hyperlink ref="BB184" r:id="rId180" tooltip="https://admin.scape.mx/appointment/IxocrCmXf0" xr:uid="{0BE368BC-85B9-47D3-A9F9-C1D49083521D}"/>
    <hyperlink ref="BB185" r:id="rId181" tooltip="https://admin.scape.mx/appointment/EilrvvaUdb" xr:uid="{96DE1B74-12CC-491D-91B1-6340748D2983}"/>
    <hyperlink ref="BB186" r:id="rId182" tooltip="https://admin.scape.mx/appointment/Ba7j5Oow9l" xr:uid="{B25934E3-3CF5-46A7-B8F3-BB270191CEE0}"/>
    <hyperlink ref="BB187" r:id="rId183" tooltip="https://admin.scape.mx/appointment/Ba7j5Oow9l" xr:uid="{8F4C4151-D975-4E3E-8373-167CCB055CAE}"/>
    <hyperlink ref="BB188" r:id="rId184" tooltip="https://admin.scape.mx/appointment/A0GwcwlIyO" xr:uid="{78FC3B87-FB13-498E-9330-369B718E261B}"/>
    <hyperlink ref="BB189" r:id="rId185" tooltip="https://admin.scape.mx/appointment/A0GwcwlIyO" xr:uid="{9D606FC0-5903-4C4D-B29F-BF2940129757}"/>
    <hyperlink ref="BB190" r:id="rId186" tooltip="https://admin.scape.mx/appointment/9q0A8LxBSZ" xr:uid="{90781A29-7B03-4105-ACE1-0E1A7927B612}"/>
    <hyperlink ref="BB191" r:id="rId187" tooltip="https://admin.scape.mx/appointment/2DTmgTUPWR" xr:uid="{1C0E9ABB-8CB4-4873-8666-B046A0E81FEF}"/>
    <hyperlink ref="BB192" r:id="rId188" tooltip="https://admin.scape.mx/appointment/2DTmgTUPWR" xr:uid="{3F2DD230-C4E0-4744-89E8-C6FC20E4B437}"/>
    <hyperlink ref="BB193" r:id="rId189" tooltip="https://admin.scape.mx/appointment/YSUAq2ESjr" xr:uid="{0C6BD7D3-0C95-4793-B26C-2BE89F9A310D}"/>
    <hyperlink ref="BB194" r:id="rId190" tooltip="https://admin.scape.mx/appointment/cAuVYBzQUA" xr:uid="{721752FD-CB99-4D1A-8E83-DF0151AB2E78}"/>
    <hyperlink ref="BB195" r:id="rId191" tooltip="https://admin.scape.mx/appointment/cAuVYBzQUA" xr:uid="{CCB17542-9E6A-4AE9-BF49-E879B47B0A98}"/>
    <hyperlink ref="BB196" r:id="rId192" tooltip="https://admin.scape.mx/appointment/KcnLqJ3RgF" xr:uid="{EFD8F8FA-9539-493B-A5FA-2CD8BA9A06F8}"/>
    <hyperlink ref="BB197" r:id="rId193" tooltip="https://admin.scape.mx/appointment/ZKtasKqKVc" xr:uid="{E465D1C0-58B4-4894-AE5A-8EA1EAC366FA}"/>
    <hyperlink ref="BB198" r:id="rId194" tooltip="https://admin.scape.mx/appointment/1v6SvD6pYQ" xr:uid="{CC08823B-0397-4C82-880F-05230D8216D7}"/>
    <hyperlink ref="BB199" r:id="rId195" tooltip="https://admin.scape.mx/appointment/6HH1MjcYSZ" xr:uid="{163BDECB-91EC-4816-888B-DF96E43344C8}"/>
    <hyperlink ref="BB200" r:id="rId196" tooltip="https://admin.scape.mx/appointment/6HH1MjcYSZ" xr:uid="{ABAEE8D6-F36C-4FFA-B20C-0BDA6263A7D1}"/>
    <hyperlink ref="BB201" r:id="rId197" tooltip="https://admin.scape.mx/appointment/6HH1MjcYSZ" xr:uid="{AEF15F11-5299-4165-9527-8D702CCB6F4A}"/>
    <hyperlink ref="BB127" r:id="rId198" tooltip="https://admin.scape.mx/appointment/6FTYtJD1f8" xr:uid="{1B2E6201-D1C9-4FB7-BCA5-E85CCA08DD82}"/>
    <hyperlink ref="BB128" r:id="rId199" tooltip="https://admin.scape.mx/appointment/6FTYtJD1f8" xr:uid="{0FCC1153-DF12-4E39-A0AE-82E26AE9546D}"/>
  </hyperlinks>
  <pageMargins left="0.7" right="0.7" top="0.75" bottom="0.75" header="0" footer="0"/>
  <pageSetup orientation="landscape" r:id="rId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124E-42A5-45DE-85AB-5A1AA8B399ED}">
  <dimension ref="B2:F74"/>
  <sheetViews>
    <sheetView showGridLines="0" zoomScale="80" zoomScaleNormal="80" workbookViewId="0">
      <pane xSplit="1" ySplit="2" topLeftCell="B23" activePane="bottomRight" state="frozen"/>
      <selection pane="topRight" activeCell="B1" sqref="B1"/>
      <selection pane="bottomLeft" activeCell="A3" sqref="A3"/>
      <selection pane="bottomRight" activeCell="B50" sqref="B50"/>
    </sheetView>
  </sheetViews>
  <sheetFormatPr baseColWidth="10" defaultColWidth="12.75" defaultRowHeight="15" customHeight="1"/>
  <cols>
    <col min="1" max="1" width="10.75" customWidth="1"/>
    <col min="2" max="2" width="26.75" bestFit="1" customWidth="1"/>
    <col min="3" max="3" width="12.875" bestFit="1" customWidth="1"/>
    <col min="4" max="4" width="10.75" customWidth="1"/>
    <col min="5" max="5" width="39.625" bestFit="1" customWidth="1"/>
    <col min="6" max="14" width="10.75" customWidth="1"/>
  </cols>
  <sheetData>
    <row r="2" spans="2:6" ht="14.25" customHeight="1">
      <c r="B2" s="34" t="s">
        <v>464</v>
      </c>
      <c r="C2" s="36" t="s">
        <v>437</v>
      </c>
      <c r="D2" s="36" t="s">
        <v>335</v>
      </c>
      <c r="E2" s="34" t="s">
        <v>336</v>
      </c>
      <c r="F2" s="36" t="s">
        <v>335</v>
      </c>
    </row>
    <row r="3" spans="2:6" ht="14.25" customHeight="1">
      <c r="B3" s="40"/>
      <c r="C3" s="40"/>
      <c r="D3" s="37" t="s">
        <v>337</v>
      </c>
      <c r="E3" s="25" t="s">
        <v>338</v>
      </c>
      <c r="F3" s="37" t="s">
        <v>337</v>
      </c>
    </row>
    <row r="4" spans="2:6" ht="14.25" customHeight="1">
      <c r="B4" s="39" t="s">
        <v>511</v>
      </c>
      <c r="C4" s="40" t="s">
        <v>154</v>
      </c>
      <c r="D4" s="37" t="s">
        <v>320</v>
      </c>
      <c r="E4" s="25" t="s">
        <v>339</v>
      </c>
      <c r="F4" s="37" t="s">
        <v>320</v>
      </c>
    </row>
    <row r="5" spans="2:6" ht="14.25" customHeight="1">
      <c r="B5" s="40"/>
      <c r="C5" s="40"/>
      <c r="D5" s="37" t="s">
        <v>340</v>
      </c>
      <c r="E5" s="25" t="s">
        <v>341</v>
      </c>
      <c r="F5" s="37" t="s">
        <v>340</v>
      </c>
    </row>
    <row r="6" spans="2:6" ht="14.25" customHeight="1">
      <c r="B6" s="40"/>
      <c r="C6" s="40"/>
      <c r="D6" s="37" t="s">
        <v>342</v>
      </c>
      <c r="E6" s="25" t="s">
        <v>343</v>
      </c>
      <c r="F6" s="37" t="s">
        <v>342</v>
      </c>
    </row>
    <row r="7" spans="2:6" ht="14.25" customHeight="1">
      <c r="B7" s="40"/>
      <c r="C7" s="40"/>
      <c r="D7" s="37" t="s">
        <v>344</v>
      </c>
      <c r="E7" s="25" t="s">
        <v>345</v>
      </c>
      <c r="F7" s="37" t="s">
        <v>344</v>
      </c>
    </row>
    <row r="8" spans="2:6" ht="14.25" customHeight="1">
      <c r="B8" s="40"/>
      <c r="C8" s="40"/>
      <c r="D8" s="37" t="s">
        <v>346</v>
      </c>
      <c r="E8" s="25" t="s">
        <v>347</v>
      </c>
      <c r="F8" s="37" t="s">
        <v>346</v>
      </c>
    </row>
    <row r="9" spans="2:6" ht="14.25" customHeight="1">
      <c r="B9" s="27" t="s">
        <v>440</v>
      </c>
      <c r="C9" s="27" t="s">
        <v>350</v>
      </c>
      <c r="D9" s="37" t="s">
        <v>348</v>
      </c>
      <c r="E9" s="25" t="s">
        <v>349</v>
      </c>
      <c r="F9" s="37" t="s">
        <v>348</v>
      </c>
    </row>
    <row r="10" spans="2:6" ht="14.25" customHeight="1">
      <c r="B10" s="40"/>
      <c r="C10" s="40"/>
      <c r="D10" s="37" t="s">
        <v>351</v>
      </c>
      <c r="E10" s="25" t="s">
        <v>352</v>
      </c>
      <c r="F10" s="37" t="s">
        <v>351</v>
      </c>
    </row>
    <row r="11" spans="2:6" ht="14.25" customHeight="1">
      <c r="B11" s="120" t="s">
        <v>517</v>
      </c>
      <c r="C11" s="40"/>
      <c r="D11" s="37" t="s">
        <v>353</v>
      </c>
      <c r="E11" s="25" t="s">
        <v>354</v>
      </c>
      <c r="F11" s="37" t="s">
        <v>353</v>
      </c>
    </row>
    <row r="12" spans="2:6" ht="14.25" customHeight="1">
      <c r="B12" s="141" t="s">
        <v>540</v>
      </c>
      <c r="C12" s="25"/>
      <c r="D12" s="143" t="s">
        <v>547</v>
      </c>
      <c r="E12" s="25" t="s">
        <v>548</v>
      </c>
      <c r="F12" s="143" t="s">
        <v>547</v>
      </c>
    </row>
    <row r="13" spans="2:6" ht="14.25" customHeight="1">
      <c r="B13" s="40" t="s">
        <v>7</v>
      </c>
      <c r="C13" s="40" t="s">
        <v>167</v>
      </c>
      <c r="D13" s="37" t="s">
        <v>288</v>
      </c>
      <c r="E13" s="25" t="s">
        <v>355</v>
      </c>
      <c r="F13" s="37" t="s">
        <v>288</v>
      </c>
    </row>
    <row r="14" spans="2:6" ht="14.25" customHeight="1">
      <c r="B14" s="40" t="s">
        <v>331</v>
      </c>
      <c r="C14" s="40" t="s">
        <v>330</v>
      </c>
      <c r="D14" s="37" t="s">
        <v>356</v>
      </c>
      <c r="E14" s="25" t="s">
        <v>357</v>
      </c>
      <c r="F14" s="37" t="s">
        <v>356</v>
      </c>
    </row>
    <row r="15" spans="2:6" ht="14.25" customHeight="1">
      <c r="B15" s="40"/>
      <c r="C15" s="40"/>
      <c r="D15" s="37" t="s">
        <v>433</v>
      </c>
      <c r="E15" s="25" t="s">
        <v>434</v>
      </c>
      <c r="F15" s="37" t="s">
        <v>433</v>
      </c>
    </row>
    <row r="16" spans="2:6" ht="14.25" customHeight="1">
      <c r="B16" s="40"/>
      <c r="C16" s="40"/>
      <c r="D16" s="37" t="s">
        <v>358</v>
      </c>
      <c r="E16" s="25" t="s">
        <v>359</v>
      </c>
      <c r="F16" s="37" t="s">
        <v>358</v>
      </c>
    </row>
    <row r="17" spans="2:6" ht="14.25" customHeight="1">
      <c r="B17" s="35"/>
      <c r="C17" s="40"/>
      <c r="D17" s="37" t="s">
        <v>422</v>
      </c>
      <c r="E17" s="25" t="s">
        <v>423</v>
      </c>
      <c r="F17" s="37" t="s">
        <v>422</v>
      </c>
    </row>
    <row r="18" spans="2:6" ht="14.25" customHeight="1">
      <c r="B18" s="141" t="s">
        <v>516</v>
      </c>
      <c r="C18" s="40"/>
      <c r="D18" s="37" t="s">
        <v>360</v>
      </c>
      <c r="E18" s="25" t="s">
        <v>361</v>
      </c>
      <c r="F18" s="37" t="s">
        <v>360</v>
      </c>
    </row>
    <row r="19" spans="2:6" ht="14.25" customHeight="1">
      <c r="B19" s="40" t="s">
        <v>497</v>
      </c>
      <c r="C19" s="40"/>
      <c r="D19" s="37" t="s">
        <v>430</v>
      </c>
      <c r="E19" s="25" t="s">
        <v>431</v>
      </c>
      <c r="F19" s="37" t="s">
        <v>430</v>
      </c>
    </row>
    <row r="20" spans="2:6" ht="14.25" customHeight="1">
      <c r="B20" s="40" t="s">
        <v>9</v>
      </c>
      <c r="C20" s="40" t="s">
        <v>157</v>
      </c>
      <c r="D20" s="37" t="s">
        <v>290</v>
      </c>
      <c r="E20" s="25" t="s">
        <v>365</v>
      </c>
      <c r="F20" s="37" t="s">
        <v>290</v>
      </c>
    </row>
    <row r="21" spans="2:6" ht="14.25" customHeight="1">
      <c r="B21" s="40" t="s">
        <v>444</v>
      </c>
      <c r="C21" s="40"/>
      <c r="D21" s="37" t="s">
        <v>321</v>
      </c>
      <c r="E21" s="25" t="s">
        <v>421</v>
      </c>
      <c r="F21" s="37" t="s">
        <v>321</v>
      </c>
    </row>
    <row r="22" spans="2:6" ht="14.25" customHeight="1">
      <c r="B22" s="40" t="s">
        <v>8</v>
      </c>
      <c r="C22" s="40" t="s">
        <v>136</v>
      </c>
      <c r="D22" s="37" t="s">
        <v>289</v>
      </c>
      <c r="E22" s="25" t="s">
        <v>364</v>
      </c>
      <c r="F22" s="37" t="s">
        <v>289</v>
      </c>
    </row>
    <row r="23" spans="2:6" ht="14.25" customHeight="1">
      <c r="B23" s="40" t="s">
        <v>10</v>
      </c>
      <c r="C23" s="40" t="s">
        <v>151</v>
      </c>
      <c r="D23" s="37" t="s">
        <v>291</v>
      </c>
      <c r="E23" s="25" t="s">
        <v>366</v>
      </c>
      <c r="F23" s="37" t="s">
        <v>291</v>
      </c>
    </row>
    <row r="24" spans="2:6" ht="14.25" customHeight="1">
      <c r="B24" s="40" t="s">
        <v>507</v>
      </c>
      <c r="C24" s="40"/>
      <c r="D24" s="37" t="s">
        <v>362</v>
      </c>
      <c r="E24" s="25" t="s">
        <v>363</v>
      </c>
      <c r="F24" s="37" t="s">
        <v>362</v>
      </c>
    </row>
    <row r="25" spans="2:6" ht="14.25" customHeight="1">
      <c r="B25" s="40" t="s">
        <v>11</v>
      </c>
      <c r="C25" s="40" t="s">
        <v>166</v>
      </c>
      <c r="D25" s="37" t="s">
        <v>292</v>
      </c>
      <c r="E25" s="125" t="s">
        <v>470</v>
      </c>
      <c r="F25" s="37" t="s">
        <v>292</v>
      </c>
    </row>
    <row r="26" spans="2:6" ht="14.25" customHeight="1">
      <c r="B26" s="121" t="s">
        <v>510</v>
      </c>
      <c r="C26" s="40" t="s">
        <v>168</v>
      </c>
      <c r="D26" s="37" t="s">
        <v>293</v>
      </c>
      <c r="E26" s="25" t="s">
        <v>367</v>
      </c>
      <c r="F26" s="37" t="s">
        <v>293</v>
      </c>
    </row>
    <row r="27" spans="2:6" ht="14.25" customHeight="1">
      <c r="B27" s="40" t="s">
        <v>439</v>
      </c>
      <c r="C27" s="40" t="s">
        <v>369</v>
      </c>
      <c r="D27" s="37" t="s">
        <v>322</v>
      </c>
      <c r="E27" s="25" t="s">
        <v>368</v>
      </c>
      <c r="F27" s="37" t="s">
        <v>322</v>
      </c>
    </row>
    <row r="28" spans="2:6" ht="14.25" customHeight="1">
      <c r="B28" s="40" t="s">
        <v>12</v>
      </c>
      <c r="C28" s="40" t="s">
        <v>162</v>
      </c>
      <c r="D28" s="37" t="s">
        <v>323</v>
      </c>
      <c r="E28" s="25" t="s">
        <v>370</v>
      </c>
      <c r="F28" s="37" t="s">
        <v>323</v>
      </c>
    </row>
    <row r="29" spans="2:6" ht="14.25" customHeight="1">
      <c r="B29" s="40"/>
      <c r="C29" s="40"/>
      <c r="D29" s="37" t="s">
        <v>425</v>
      </c>
      <c r="E29" s="25" t="s">
        <v>426</v>
      </c>
      <c r="F29" s="37" t="s">
        <v>425</v>
      </c>
    </row>
    <row r="30" spans="2:6" ht="14.25" customHeight="1">
      <c r="B30" s="35"/>
      <c r="C30" s="40"/>
      <c r="D30" s="37" t="s">
        <v>404</v>
      </c>
      <c r="E30" s="25" t="s">
        <v>405</v>
      </c>
      <c r="F30" s="37" t="s">
        <v>404</v>
      </c>
    </row>
    <row r="31" spans="2:6" ht="14.25" customHeight="1">
      <c r="B31" s="141" t="s">
        <v>513</v>
      </c>
      <c r="C31" s="40"/>
      <c r="D31" s="37" t="s">
        <v>446</v>
      </c>
      <c r="E31" s="25" t="s">
        <v>447</v>
      </c>
      <c r="F31" s="37" t="s">
        <v>446</v>
      </c>
    </row>
    <row r="32" spans="2:6" ht="15" customHeight="1">
      <c r="B32" s="125" t="s">
        <v>531</v>
      </c>
      <c r="C32" s="25"/>
      <c r="D32" s="144" t="s">
        <v>529</v>
      </c>
      <c r="E32" s="44" t="s">
        <v>530</v>
      </c>
      <c r="F32" s="144" t="s">
        <v>529</v>
      </c>
    </row>
    <row r="33" spans="2:6" ht="15" customHeight="1">
      <c r="B33" s="40"/>
      <c r="C33" s="40"/>
      <c r="D33" s="37" t="s">
        <v>372</v>
      </c>
      <c r="E33" s="25" t="s">
        <v>373</v>
      </c>
      <c r="F33" s="37" t="s">
        <v>372</v>
      </c>
    </row>
    <row r="34" spans="2:6" ht="15" customHeight="1">
      <c r="B34" s="40" t="s">
        <v>14</v>
      </c>
      <c r="C34" s="40" t="s">
        <v>152</v>
      </c>
      <c r="D34" s="37" t="s">
        <v>295</v>
      </c>
      <c r="E34" s="25" t="s">
        <v>374</v>
      </c>
      <c r="F34" s="37" t="s">
        <v>295</v>
      </c>
    </row>
    <row r="35" spans="2:6" ht="15" customHeight="1">
      <c r="B35" s="40" t="s">
        <v>15</v>
      </c>
      <c r="C35" s="40" t="s">
        <v>169</v>
      </c>
      <c r="D35" s="37" t="s">
        <v>296</v>
      </c>
      <c r="E35" s="25" t="s">
        <v>377</v>
      </c>
      <c r="F35" s="37" t="s">
        <v>296</v>
      </c>
    </row>
    <row r="36" spans="2:6" ht="15" customHeight="1">
      <c r="B36" s="40"/>
      <c r="C36" s="40"/>
      <c r="D36" s="37" t="s">
        <v>375</v>
      </c>
      <c r="E36" s="25" t="s">
        <v>376</v>
      </c>
      <c r="F36" s="37" t="s">
        <v>375</v>
      </c>
    </row>
    <row r="37" spans="2:6" ht="15" customHeight="1">
      <c r="B37" s="40" t="s">
        <v>506</v>
      </c>
      <c r="C37" s="40"/>
      <c r="D37" s="37" t="s">
        <v>504</v>
      </c>
      <c r="E37" s="25" t="s">
        <v>505</v>
      </c>
      <c r="F37" s="37" t="s">
        <v>504</v>
      </c>
    </row>
    <row r="38" spans="2:6" ht="15" customHeight="1">
      <c r="B38" s="127" t="s">
        <v>552</v>
      </c>
      <c r="C38" s="40" t="s">
        <v>141</v>
      </c>
      <c r="D38" s="37" t="s">
        <v>297</v>
      </c>
      <c r="E38" s="25" t="s">
        <v>378</v>
      </c>
      <c r="F38" s="37" t="s">
        <v>297</v>
      </c>
    </row>
    <row r="39" spans="2:6" ht="15" customHeight="1">
      <c r="B39" s="127" t="s">
        <v>549</v>
      </c>
      <c r="C39" s="40" t="s">
        <v>109</v>
      </c>
      <c r="D39" s="37" t="s">
        <v>298</v>
      </c>
      <c r="E39" s="25" t="s">
        <v>379</v>
      </c>
      <c r="F39" s="37" t="s">
        <v>298</v>
      </c>
    </row>
    <row r="40" spans="2:6" ht="15" customHeight="1">
      <c r="B40" s="40" t="s">
        <v>25</v>
      </c>
      <c r="C40" s="40" t="s">
        <v>381</v>
      </c>
      <c r="D40" s="37" t="s">
        <v>308</v>
      </c>
      <c r="E40" s="25" t="s">
        <v>380</v>
      </c>
      <c r="F40" s="37" t="s">
        <v>308</v>
      </c>
    </row>
    <row r="41" spans="2:6" ht="15" customHeight="1">
      <c r="B41" s="40" t="s">
        <v>282</v>
      </c>
      <c r="C41" s="40" t="s">
        <v>158</v>
      </c>
      <c r="D41" s="38" t="s">
        <v>299</v>
      </c>
      <c r="E41" s="27" t="s">
        <v>424</v>
      </c>
      <c r="F41" s="38" t="s">
        <v>299</v>
      </c>
    </row>
    <row r="42" spans="2:6" ht="15" customHeight="1">
      <c r="B42" s="40" t="s">
        <v>318</v>
      </c>
      <c r="C42" s="40" t="s">
        <v>317</v>
      </c>
      <c r="D42" s="37" t="s">
        <v>324</v>
      </c>
      <c r="E42" s="25" t="s">
        <v>382</v>
      </c>
      <c r="F42" s="37" t="s">
        <v>324</v>
      </c>
    </row>
    <row r="43" spans="2:6" ht="15" customHeight="1">
      <c r="B43" s="40" t="s">
        <v>16</v>
      </c>
      <c r="C43" s="40" t="s">
        <v>121</v>
      </c>
      <c r="D43" s="37" t="s">
        <v>300</v>
      </c>
      <c r="E43" s="25" t="s">
        <v>420</v>
      </c>
      <c r="F43" s="37" t="s">
        <v>300</v>
      </c>
    </row>
    <row r="44" spans="2:6" ht="15" customHeight="1">
      <c r="B44" s="121" t="s">
        <v>519</v>
      </c>
      <c r="C44" s="40"/>
      <c r="D44" s="37" t="s">
        <v>418</v>
      </c>
      <c r="E44" s="25" t="s">
        <v>419</v>
      </c>
      <c r="F44" s="37" t="s">
        <v>418</v>
      </c>
    </row>
    <row r="45" spans="2:6" ht="15" customHeight="1">
      <c r="B45" s="40" t="s">
        <v>498</v>
      </c>
      <c r="C45" s="40"/>
      <c r="D45" s="37" t="s">
        <v>448</v>
      </c>
      <c r="E45" s="25" t="s">
        <v>449</v>
      </c>
      <c r="F45" s="37" t="s">
        <v>448</v>
      </c>
    </row>
    <row r="46" spans="2:6" ht="15" customHeight="1">
      <c r="B46" s="40"/>
      <c r="C46" s="40"/>
      <c r="D46" s="37" t="s">
        <v>450</v>
      </c>
      <c r="E46" s="25" t="s">
        <v>451</v>
      </c>
      <c r="F46" s="37" t="s">
        <v>450</v>
      </c>
    </row>
    <row r="47" spans="2:6" ht="15" customHeight="1">
      <c r="B47" s="40" t="s">
        <v>287</v>
      </c>
      <c r="C47" s="40" t="s">
        <v>286</v>
      </c>
      <c r="D47" s="37" t="s">
        <v>314</v>
      </c>
      <c r="E47" s="25" t="s">
        <v>436</v>
      </c>
      <c r="F47" s="37" t="s">
        <v>314</v>
      </c>
    </row>
    <row r="48" spans="2:6" ht="15" customHeight="1">
      <c r="B48" s="40"/>
      <c r="C48" s="40"/>
      <c r="D48" s="37" t="s">
        <v>427</v>
      </c>
      <c r="E48" s="25" t="s">
        <v>428</v>
      </c>
      <c r="F48" s="37" t="s">
        <v>427</v>
      </c>
    </row>
    <row r="49" spans="2:6" ht="15" customHeight="1">
      <c r="B49" s="127" t="s">
        <v>607</v>
      </c>
      <c r="C49" s="40" t="s">
        <v>133</v>
      </c>
      <c r="D49" s="37" t="s">
        <v>301</v>
      </c>
      <c r="E49" s="25" t="s">
        <v>383</v>
      </c>
      <c r="F49" s="37" t="s">
        <v>301</v>
      </c>
    </row>
    <row r="50" spans="2:6" ht="15" customHeight="1">
      <c r="B50" s="40"/>
      <c r="C50" s="40"/>
      <c r="D50" s="37" t="s">
        <v>385</v>
      </c>
      <c r="E50" s="25" t="s">
        <v>386</v>
      </c>
      <c r="F50" s="37" t="s">
        <v>385</v>
      </c>
    </row>
    <row r="51" spans="2:6" ht="15" customHeight="1">
      <c r="B51" s="40" t="s">
        <v>43</v>
      </c>
      <c r="C51" s="40" t="s">
        <v>285</v>
      </c>
      <c r="D51" s="37" t="s">
        <v>313</v>
      </c>
      <c r="E51" s="25" t="s">
        <v>417</v>
      </c>
      <c r="F51" s="37" t="s">
        <v>313</v>
      </c>
    </row>
    <row r="52" spans="2:6" ht="15" customHeight="1">
      <c r="B52" s="40" t="s">
        <v>13</v>
      </c>
      <c r="C52" s="40" t="s">
        <v>147</v>
      </c>
      <c r="D52" s="37" t="s">
        <v>294</v>
      </c>
      <c r="E52" s="25" t="s">
        <v>371</v>
      </c>
      <c r="F52" s="37" t="s">
        <v>294</v>
      </c>
    </row>
    <row r="53" spans="2:6" ht="15" customHeight="1">
      <c r="B53" s="121" t="s">
        <v>523</v>
      </c>
      <c r="C53" s="40"/>
      <c r="D53" s="37" t="s">
        <v>387</v>
      </c>
      <c r="E53" s="25" t="s">
        <v>388</v>
      </c>
      <c r="F53" s="37" t="s">
        <v>387</v>
      </c>
    </row>
    <row r="54" spans="2:6" ht="15" customHeight="1">
      <c r="B54" s="40" t="s">
        <v>334</v>
      </c>
      <c r="C54" s="40" t="s">
        <v>333</v>
      </c>
      <c r="D54" s="37" t="s">
        <v>389</v>
      </c>
      <c r="E54" s="25" t="s">
        <v>390</v>
      </c>
      <c r="F54" s="37" t="s">
        <v>389</v>
      </c>
    </row>
    <row r="55" spans="2:6" ht="15" customHeight="1">
      <c r="B55" s="40" t="s">
        <v>17</v>
      </c>
      <c r="C55" s="40" t="s">
        <v>102</v>
      </c>
      <c r="D55" s="37" t="s">
        <v>302</v>
      </c>
      <c r="E55" s="25" t="s">
        <v>384</v>
      </c>
      <c r="F55" s="37" t="s">
        <v>302</v>
      </c>
    </row>
    <row r="56" spans="2:6" ht="15" customHeight="1">
      <c r="B56" s="40"/>
      <c r="C56" s="40"/>
      <c r="D56" s="37" t="s">
        <v>391</v>
      </c>
      <c r="E56" s="25" t="s">
        <v>392</v>
      </c>
      <c r="F56" s="37" t="s">
        <v>391</v>
      </c>
    </row>
    <row r="57" spans="2:6" ht="15" customHeight="1">
      <c r="B57" s="40" t="s">
        <v>18</v>
      </c>
      <c r="C57" s="40" t="s">
        <v>161</v>
      </c>
      <c r="D57" s="37" t="s">
        <v>325</v>
      </c>
      <c r="E57" s="25" t="s">
        <v>429</v>
      </c>
      <c r="F57" s="37" t="s">
        <v>325</v>
      </c>
    </row>
    <row r="58" spans="2:6" ht="15" customHeight="1">
      <c r="B58" s="40" t="s">
        <v>508</v>
      </c>
      <c r="C58" s="40"/>
      <c r="D58" s="37" t="s">
        <v>393</v>
      </c>
      <c r="E58" s="25" t="s">
        <v>394</v>
      </c>
      <c r="F58" s="37" t="s">
        <v>393</v>
      </c>
    </row>
    <row r="59" spans="2:6" ht="15" customHeight="1">
      <c r="B59" s="40" t="s">
        <v>499</v>
      </c>
      <c r="C59" s="40"/>
      <c r="D59" s="37" t="s">
        <v>395</v>
      </c>
      <c r="E59" s="25" t="s">
        <v>396</v>
      </c>
      <c r="F59" s="37" t="s">
        <v>395</v>
      </c>
    </row>
    <row r="60" spans="2:6" ht="15" customHeight="1">
      <c r="B60" s="41" t="s">
        <v>512</v>
      </c>
      <c r="C60" s="42"/>
      <c r="D60" s="37" t="s">
        <v>312</v>
      </c>
      <c r="E60" s="121" t="s">
        <v>520</v>
      </c>
      <c r="F60" s="37" t="s">
        <v>312</v>
      </c>
    </row>
    <row r="61" spans="2:6" ht="15" customHeight="1">
      <c r="B61" s="40" t="s">
        <v>26</v>
      </c>
      <c r="C61" s="40" t="s">
        <v>398</v>
      </c>
      <c r="D61" s="37" t="s">
        <v>309</v>
      </c>
      <c r="E61" s="25" t="s">
        <v>397</v>
      </c>
      <c r="F61" s="37" t="s">
        <v>309</v>
      </c>
    </row>
    <row r="62" spans="2:6" ht="15" customHeight="1">
      <c r="B62" s="40"/>
      <c r="C62" s="40"/>
      <c r="D62" s="37" t="s">
        <v>303</v>
      </c>
      <c r="E62" s="25" t="s">
        <v>435</v>
      </c>
      <c r="F62" s="37" t="s">
        <v>303</v>
      </c>
    </row>
    <row r="63" spans="2:6" ht="15" customHeight="1">
      <c r="B63" s="40" t="s">
        <v>44</v>
      </c>
      <c r="C63" s="40" t="s">
        <v>332</v>
      </c>
      <c r="D63" s="37" t="s">
        <v>319</v>
      </c>
      <c r="E63" s="25" t="s">
        <v>401</v>
      </c>
      <c r="F63" s="37" t="s">
        <v>319</v>
      </c>
    </row>
    <row r="64" spans="2:6" ht="15" customHeight="1">
      <c r="B64" s="40" t="s">
        <v>329</v>
      </c>
      <c r="C64" s="40" t="s">
        <v>328</v>
      </c>
      <c r="D64" s="37" t="s">
        <v>399</v>
      </c>
      <c r="E64" s="25" t="s">
        <v>400</v>
      </c>
      <c r="F64" s="37" t="s">
        <v>399</v>
      </c>
    </row>
    <row r="65" spans="2:6" ht="15" customHeight="1">
      <c r="B65" s="40" t="s">
        <v>20</v>
      </c>
      <c r="C65" s="40" t="s">
        <v>91</v>
      </c>
      <c r="D65" s="37" t="s">
        <v>305</v>
      </c>
      <c r="E65" s="25" t="s">
        <v>403</v>
      </c>
      <c r="F65" s="37" t="s">
        <v>305</v>
      </c>
    </row>
    <row r="66" spans="2:6" ht="15" customHeight="1">
      <c r="B66" s="40" t="s">
        <v>19</v>
      </c>
      <c r="C66" s="40" t="s">
        <v>144</v>
      </c>
      <c r="D66" s="37" t="s">
        <v>304</v>
      </c>
      <c r="E66" s="25" t="s">
        <v>402</v>
      </c>
      <c r="F66" s="37" t="s">
        <v>304</v>
      </c>
    </row>
    <row r="67" spans="2:6" ht="15" customHeight="1">
      <c r="B67" s="27" t="s">
        <v>45</v>
      </c>
      <c r="C67" s="27" t="s">
        <v>408</v>
      </c>
      <c r="D67" s="37" t="s">
        <v>406</v>
      </c>
      <c r="E67" s="25" t="s">
        <v>407</v>
      </c>
      <c r="F67" s="37" t="s">
        <v>406</v>
      </c>
    </row>
    <row r="68" spans="2:6" ht="15" customHeight="1">
      <c r="B68" s="40" t="s">
        <v>316</v>
      </c>
      <c r="C68" s="40" t="s">
        <v>315</v>
      </c>
      <c r="D68" s="37" t="s">
        <v>326</v>
      </c>
      <c r="E68" s="25" t="s">
        <v>432</v>
      </c>
      <c r="F68" s="37" t="s">
        <v>326</v>
      </c>
    </row>
    <row r="69" spans="2:6" ht="15" customHeight="1">
      <c r="B69" s="40"/>
      <c r="C69" s="40"/>
      <c r="D69" s="37" t="s">
        <v>409</v>
      </c>
      <c r="E69" s="25" t="s">
        <v>410</v>
      </c>
      <c r="F69" s="37" t="s">
        <v>409</v>
      </c>
    </row>
    <row r="70" spans="2:6" ht="15" customHeight="1">
      <c r="B70" s="40" t="s">
        <v>27</v>
      </c>
      <c r="C70" s="40" t="s">
        <v>284</v>
      </c>
      <c r="D70" s="37" t="s">
        <v>310</v>
      </c>
      <c r="E70" s="25" t="s">
        <v>411</v>
      </c>
      <c r="F70" s="37" t="s">
        <v>310</v>
      </c>
    </row>
    <row r="71" spans="2:6" ht="15" customHeight="1">
      <c r="B71" s="40" t="s">
        <v>445</v>
      </c>
      <c r="C71" s="40" t="s">
        <v>112</v>
      </c>
      <c r="D71" s="37" t="s">
        <v>306</v>
      </c>
      <c r="E71" s="25" t="s">
        <v>412</v>
      </c>
      <c r="F71" s="37" t="s">
        <v>306</v>
      </c>
    </row>
    <row r="72" spans="2:6" ht="15" customHeight="1">
      <c r="B72" s="40" t="s">
        <v>21</v>
      </c>
      <c r="C72" s="40" t="s">
        <v>116</v>
      </c>
      <c r="D72" s="37" t="s">
        <v>307</v>
      </c>
      <c r="E72" s="25" t="s">
        <v>413</v>
      </c>
      <c r="F72" s="37" t="s">
        <v>307</v>
      </c>
    </row>
    <row r="73" spans="2:6" ht="15" customHeight="1">
      <c r="B73" s="142" t="s">
        <v>28</v>
      </c>
      <c r="C73" s="35" t="s">
        <v>283</v>
      </c>
      <c r="D73" s="28" t="s">
        <v>311</v>
      </c>
      <c r="E73" s="25" t="s">
        <v>414</v>
      </c>
      <c r="F73" s="28" t="s">
        <v>311</v>
      </c>
    </row>
    <row r="74" spans="2:6" ht="15" customHeight="1">
      <c r="B74" s="35"/>
      <c r="C74" s="35"/>
      <c r="D74" s="43" t="s">
        <v>415</v>
      </c>
      <c r="E74" t="s">
        <v>416</v>
      </c>
      <c r="F74" s="43" t="s">
        <v>415</v>
      </c>
    </row>
  </sheetData>
  <sortState xmlns:xlrd2="http://schemas.microsoft.com/office/spreadsheetml/2017/richdata2" ref="B3:F74">
    <sortCondition ref="E3:E74"/>
  </sortState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10" defaultColWidth="12.75" defaultRowHeight="15" customHeight="1"/>
  <cols>
    <col min="1" max="26" width="10.75" customWidth="1"/>
  </cols>
  <sheetData>
    <row r="1" spans="1:21" ht="14.25" customHeight="1">
      <c r="B1" s="2">
        <f>+SUBTOTAL(9,B3:B50)</f>
        <v>235000</v>
      </c>
      <c r="K1" s="2">
        <f>+SUBTOTAL(9,K3:K50)</f>
        <v>225000</v>
      </c>
      <c r="N1" s="2">
        <f>+SUBTOTAL(9,N3:N50)</f>
        <v>10000</v>
      </c>
    </row>
    <row r="2" spans="1:21" ht="14.25" customHeight="1">
      <c r="A2" s="12" t="s">
        <v>47</v>
      </c>
      <c r="B2" s="12" t="s">
        <v>174</v>
      </c>
      <c r="C2" s="13" t="s">
        <v>51</v>
      </c>
      <c r="D2" s="13" t="s">
        <v>53</v>
      </c>
      <c r="E2" s="13" t="s">
        <v>175</v>
      </c>
      <c r="F2" s="13" t="s">
        <v>56</v>
      </c>
      <c r="G2" s="13" t="s">
        <v>57</v>
      </c>
      <c r="H2" s="13" t="s">
        <v>58</v>
      </c>
      <c r="I2" s="13" t="s">
        <v>31</v>
      </c>
      <c r="J2" s="13" t="s">
        <v>32</v>
      </c>
      <c r="K2" s="13" t="s">
        <v>59</v>
      </c>
      <c r="L2" s="13" t="s">
        <v>176</v>
      </c>
      <c r="M2" s="13" t="s">
        <v>177</v>
      </c>
      <c r="N2" s="13" t="s">
        <v>61</v>
      </c>
      <c r="O2" s="13" t="s">
        <v>69</v>
      </c>
      <c r="P2" s="13" t="s">
        <v>70</v>
      </c>
      <c r="Q2" s="13" t="s">
        <v>73</v>
      </c>
      <c r="R2" s="13" t="s">
        <v>1</v>
      </c>
      <c r="S2" s="13" t="s">
        <v>74</v>
      </c>
      <c r="T2" s="13" t="s">
        <v>75</v>
      </c>
      <c r="U2" s="13" t="s">
        <v>79</v>
      </c>
    </row>
    <row r="3" spans="1:21" ht="14.25" customHeight="1">
      <c r="A3" s="14" t="s">
        <v>5</v>
      </c>
      <c r="B3" s="15">
        <f t="shared" ref="B3:B7" si="0">+K3+N3</f>
        <v>45000</v>
      </c>
      <c r="C3" s="16" t="s">
        <v>178</v>
      </c>
      <c r="D3" s="17">
        <v>45946</v>
      </c>
      <c r="E3" s="18">
        <v>0.83333333333333337</v>
      </c>
      <c r="F3" s="16" t="s">
        <v>81</v>
      </c>
      <c r="G3" s="16" t="s">
        <v>82</v>
      </c>
      <c r="H3" s="16" t="s">
        <v>83</v>
      </c>
      <c r="I3" s="3" t="s">
        <v>179</v>
      </c>
      <c r="J3" s="16" t="s">
        <v>85</v>
      </c>
      <c r="K3" s="19">
        <v>45000</v>
      </c>
      <c r="L3" s="16" t="s">
        <v>180</v>
      </c>
      <c r="M3" s="16" t="s">
        <v>105</v>
      </c>
      <c r="N3" s="2">
        <v>0</v>
      </c>
      <c r="O3" s="16" t="s">
        <v>87</v>
      </c>
      <c r="P3" s="16" t="s">
        <v>88</v>
      </c>
      <c r="Q3" s="16" t="s">
        <v>166</v>
      </c>
      <c r="R3" s="16" t="e">
        <f>+VLOOKUP(Q3,BASE!$AV$2:$AW$186,2,0)</f>
        <v>#N/A</v>
      </c>
      <c r="S3" s="16" t="s">
        <v>181</v>
      </c>
      <c r="T3" s="16" t="s">
        <v>182</v>
      </c>
      <c r="U3" s="20" t="s">
        <v>183</v>
      </c>
    </row>
    <row r="4" spans="1:21" ht="14.25" customHeight="1">
      <c r="A4" s="14" t="s">
        <v>5</v>
      </c>
      <c r="B4" s="15">
        <f t="shared" si="0"/>
        <v>55000</v>
      </c>
      <c r="C4" s="3" t="s">
        <v>184</v>
      </c>
      <c r="D4" s="21">
        <v>45951</v>
      </c>
      <c r="E4" s="22">
        <v>0.83333333333333337</v>
      </c>
      <c r="F4" s="3" t="s">
        <v>81</v>
      </c>
      <c r="G4" s="3" t="s">
        <v>82</v>
      </c>
      <c r="H4" s="3" t="s">
        <v>83</v>
      </c>
      <c r="I4" s="3" t="s">
        <v>179</v>
      </c>
      <c r="J4" s="3" t="s">
        <v>123</v>
      </c>
      <c r="K4" s="2">
        <v>45000</v>
      </c>
      <c r="L4" s="3" t="s">
        <v>96</v>
      </c>
      <c r="M4" s="3" t="s">
        <v>185</v>
      </c>
      <c r="N4" s="2">
        <v>10000</v>
      </c>
      <c r="O4" s="16" t="s">
        <v>87</v>
      </c>
      <c r="P4" s="16" t="s">
        <v>88</v>
      </c>
      <c r="Q4" s="16" t="s">
        <v>141</v>
      </c>
      <c r="R4" s="16" t="e">
        <f>+VLOOKUP(Q4,BASE!$AV$2:$AW$186,2,0)</f>
        <v>#N/A</v>
      </c>
      <c r="S4" s="16" t="s">
        <v>181</v>
      </c>
      <c r="T4" s="16" t="s">
        <v>186</v>
      </c>
      <c r="U4" s="23" t="s">
        <v>187</v>
      </c>
    </row>
    <row r="5" spans="1:21" ht="14.25" customHeight="1">
      <c r="A5" s="3" t="s">
        <v>5</v>
      </c>
      <c r="B5" s="15">
        <f t="shared" si="0"/>
        <v>45000</v>
      </c>
      <c r="C5" s="3" t="s">
        <v>188</v>
      </c>
      <c r="D5" s="21">
        <v>45940</v>
      </c>
      <c r="E5" s="22">
        <v>0.75</v>
      </c>
      <c r="F5" s="3" t="s">
        <v>81</v>
      </c>
      <c r="G5" s="3" t="s">
        <v>82</v>
      </c>
      <c r="H5" s="3" t="s">
        <v>83</v>
      </c>
      <c r="I5" s="3" t="s">
        <v>179</v>
      </c>
      <c r="J5" s="3" t="s">
        <v>85</v>
      </c>
      <c r="K5" s="3">
        <v>45000</v>
      </c>
      <c r="L5" s="3" t="s">
        <v>180</v>
      </c>
      <c r="M5" s="3" t="s">
        <v>105</v>
      </c>
      <c r="N5" s="3">
        <v>0</v>
      </c>
      <c r="O5" s="3" t="s">
        <v>124</v>
      </c>
      <c r="P5" s="3" t="s">
        <v>125</v>
      </c>
      <c r="Q5" s="3" t="s">
        <v>91</v>
      </c>
      <c r="R5" s="16" t="e">
        <f>+VLOOKUP(Q5,BASE!$AV$2:$AW$186,2,0)</f>
        <v>#N/A</v>
      </c>
      <c r="S5" s="16" t="s">
        <v>181</v>
      </c>
      <c r="T5" s="3" t="s">
        <v>189</v>
      </c>
      <c r="U5" s="23" t="s">
        <v>190</v>
      </c>
    </row>
    <row r="6" spans="1:21" ht="14.25" customHeight="1">
      <c r="A6" s="3" t="s">
        <v>5</v>
      </c>
      <c r="B6" s="15">
        <f t="shared" si="0"/>
        <v>45000</v>
      </c>
      <c r="C6" s="3" t="s">
        <v>191</v>
      </c>
      <c r="D6" s="21">
        <v>45948</v>
      </c>
      <c r="E6" s="22">
        <v>0.5625</v>
      </c>
      <c r="F6" s="3" t="s">
        <v>81</v>
      </c>
      <c r="G6" s="3" t="s">
        <v>82</v>
      </c>
      <c r="H6" s="3" t="s">
        <v>83</v>
      </c>
      <c r="I6" s="3" t="s">
        <v>179</v>
      </c>
      <c r="J6" s="3" t="s">
        <v>123</v>
      </c>
      <c r="K6" s="3">
        <v>45000</v>
      </c>
      <c r="L6" s="3" t="s">
        <v>180</v>
      </c>
      <c r="M6" s="3" t="s">
        <v>105</v>
      </c>
      <c r="N6" s="2">
        <v>0</v>
      </c>
      <c r="O6" s="3" t="s">
        <v>124</v>
      </c>
      <c r="P6" s="3" t="s">
        <v>125</v>
      </c>
      <c r="Q6" s="3" t="s">
        <v>91</v>
      </c>
      <c r="R6" s="16" t="e">
        <f>+VLOOKUP(Q6,BASE!$AV$2:$AW$186,2,0)</f>
        <v>#N/A</v>
      </c>
      <c r="S6" s="16" t="s">
        <v>181</v>
      </c>
      <c r="T6" s="3" t="s">
        <v>192</v>
      </c>
      <c r="U6" s="23" t="s">
        <v>193</v>
      </c>
    </row>
    <row r="7" spans="1:21" ht="14.25" customHeight="1">
      <c r="A7" s="3" t="s">
        <v>5</v>
      </c>
      <c r="B7" s="15">
        <f t="shared" si="0"/>
        <v>45000</v>
      </c>
      <c r="C7" s="3" t="s">
        <v>191</v>
      </c>
      <c r="D7" s="21">
        <v>45952</v>
      </c>
      <c r="E7" s="22">
        <v>0.83333333333333337</v>
      </c>
      <c r="F7" s="3" t="s">
        <v>81</v>
      </c>
      <c r="G7" s="3" t="s">
        <v>82</v>
      </c>
      <c r="H7" s="3" t="s">
        <v>83</v>
      </c>
      <c r="I7" s="3" t="s">
        <v>179</v>
      </c>
      <c r="J7" s="3" t="s">
        <v>85</v>
      </c>
      <c r="K7" s="3">
        <v>45000</v>
      </c>
      <c r="L7" s="3" t="s">
        <v>180</v>
      </c>
      <c r="M7" s="3" t="s">
        <v>105</v>
      </c>
      <c r="N7" s="2">
        <v>0</v>
      </c>
      <c r="O7" s="3" t="s">
        <v>139</v>
      </c>
      <c r="P7" s="3" t="s">
        <v>140</v>
      </c>
      <c r="Q7" s="3" t="s">
        <v>141</v>
      </c>
      <c r="R7" s="16" t="e">
        <f>+VLOOKUP(Q7,BASE!$AV$2:$AW$186,2,0)</f>
        <v>#N/A</v>
      </c>
      <c r="S7" s="16" t="s">
        <v>181</v>
      </c>
      <c r="T7" s="3" t="s">
        <v>194</v>
      </c>
      <c r="U7" s="23" t="s">
        <v>193</v>
      </c>
    </row>
  </sheetData>
  <autoFilter ref="A2:U3" xr:uid="{00000000-0009-0000-0000-000008000000}"/>
  <hyperlinks>
    <hyperlink ref="U3" r:id="rId1" xr:uid="{00000000-0004-0000-0800-000000000000}"/>
    <hyperlink ref="U4" r:id="rId2" xr:uid="{00000000-0004-0000-0800-000001000000}"/>
    <hyperlink ref="U5" r:id="rId3" xr:uid="{00000000-0004-0000-0800-000002000000}"/>
    <hyperlink ref="U6" r:id="rId4" xr:uid="{00000000-0004-0000-0800-000003000000}"/>
    <hyperlink ref="U7" r:id="rId5" xr:uid="{00000000-0004-0000-0800-000004000000}"/>
  </hyperlink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602"/>
  <sheetViews>
    <sheetView workbookViewId="0"/>
  </sheetViews>
  <sheetFormatPr baseColWidth="10" defaultColWidth="12.75" defaultRowHeight="15" customHeight="1"/>
  <cols>
    <col min="1" max="1" width="13.375" customWidth="1"/>
    <col min="2" max="3" width="10.75" customWidth="1"/>
    <col min="4" max="4" width="57.75" customWidth="1"/>
    <col min="5" max="5" width="10.75" customWidth="1"/>
    <col min="6" max="6" width="90.875" customWidth="1"/>
    <col min="7" max="7" width="10.75" customWidth="1"/>
    <col min="8" max="8" width="20.125" customWidth="1"/>
    <col min="9" max="9" width="12" customWidth="1"/>
    <col min="10" max="26" width="10.75" customWidth="1"/>
  </cols>
  <sheetData>
    <row r="2" spans="1:8" ht="14.25" customHeight="1">
      <c r="A2" s="3" t="s">
        <v>32</v>
      </c>
      <c r="B2" s="3" t="s">
        <v>58</v>
      </c>
      <c r="C2" s="3" t="s">
        <v>31</v>
      </c>
      <c r="D2" s="3" t="s">
        <v>195</v>
      </c>
      <c r="E2" s="3" t="s">
        <v>71</v>
      </c>
      <c r="F2" s="3" t="s">
        <v>196</v>
      </c>
      <c r="G2" s="3" t="s">
        <v>197</v>
      </c>
      <c r="H2" s="3" t="s">
        <v>198</v>
      </c>
    </row>
    <row r="3" spans="1:8" ht="14.25" customHeight="1">
      <c r="A3" s="3" t="s">
        <v>82</v>
      </c>
      <c r="B3" s="3" t="s">
        <v>83</v>
      </c>
      <c r="C3" s="3" t="s">
        <v>84</v>
      </c>
      <c r="D3" s="3" t="s">
        <v>85</v>
      </c>
      <c r="E3" s="3" t="s">
        <v>199</v>
      </c>
      <c r="F3" s="3" t="str">
        <f t="shared" ref="F3:F257" si="0">+A3&amp;C3&amp;D3&amp;E3</f>
        <v>Masaje60minRelajanteORIENTE</v>
      </c>
      <c r="G3" s="1">
        <v>45000</v>
      </c>
      <c r="H3" s="1">
        <v>22689</v>
      </c>
    </row>
    <row r="4" spans="1:8" ht="14.25" customHeight="1">
      <c r="A4" s="3" t="s">
        <v>82</v>
      </c>
      <c r="B4" s="3" t="s">
        <v>83</v>
      </c>
      <c r="C4" s="3" t="s">
        <v>146</v>
      </c>
      <c r="D4" s="3" t="s">
        <v>85</v>
      </c>
      <c r="E4" s="3" t="s">
        <v>199</v>
      </c>
      <c r="F4" s="3" t="str">
        <f t="shared" si="0"/>
        <v>Masaje90minRelajanteORIENTE</v>
      </c>
      <c r="G4" s="1">
        <v>63000</v>
      </c>
      <c r="H4" s="1">
        <v>31765</v>
      </c>
    </row>
    <row r="5" spans="1:8" ht="14.25" customHeight="1">
      <c r="A5" s="3" t="s">
        <v>82</v>
      </c>
      <c r="B5" s="3" t="s">
        <v>83</v>
      </c>
      <c r="C5" s="3" t="s">
        <v>120</v>
      </c>
      <c r="D5" s="3" t="s">
        <v>85</v>
      </c>
      <c r="E5" s="3" t="s">
        <v>199</v>
      </c>
      <c r="F5" s="3" t="str">
        <f t="shared" si="0"/>
        <v>Masaje120minRelajanteORIENTE</v>
      </c>
      <c r="G5" s="1">
        <v>76000</v>
      </c>
      <c r="H5" s="1">
        <v>38319</v>
      </c>
    </row>
    <row r="6" spans="1:8" ht="14.25" customHeight="1">
      <c r="A6" s="3" t="s">
        <v>82</v>
      </c>
      <c r="B6" s="3" t="s">
        <v>83</v>
      </c>
      <c r="C6" s="3" t="s">
        <v>84</v>
      </c>
      <c r="D6" s="3" t="s">
        <v>100</v>
      </c>
      <c r="E6" s="3" t="s">
        <v>199</v>
      </c>
      <c r="F6" s="3" t="str">
        <f t="shared" si="0"/>
        <v>Masaje60minPrenatalORIENTE</v>
      </c>
      <c r="G6" s="1">
        <v>45000</v>
      </c>
      <c r="H6" s="1">
        <v>22689</v>
      </c>
    </row>
    <row r="7" spans="1:8" ht="14.25" customHeight="1">
      <c r="A7" s="3" t="s">
        <v>82</v>
      </c>
      <c r="B7" s="3" t="s">
        <v>83</v>
      </c>
      <c r="C7" s="3" t="s">
        <v>146</v>
      </c>
      <c r="D7" s="3" t="s">
        <v>100</v>
      </c>
      <c r="E7" s="3" t="s">
        <v>199</v>
      </c>
      <c r="F7" s="3" t="str">
        <f t="shared" si="0"/>
        <v>Masaje90minPrenatalORIENTE</v>
      </c>
      <c r="G7" s="1">
        <v>63000</v>
      </c>
      <c r="H7" s="1">
        <v>31765</v>
      </c>
    </row>
    <row r="8" spans="1:8" ht="14.25" customHeight="1">
      <c r="A8" s="3" t="s">
        <v>82</v>
      </c>
      <c r="B8" s="3" t="s">
        <v>83</v>
      </c>
      <c r="C8" s="3" t="s">
        <v>120</v>
      </c>
      <c r="D8" s="3" t="s">
        <v>100</v>
      </c>
      <c r="E8" s="3" t="s">
        <v>199</v>
      </c>
      <c r="F8" s="3" t="str">
        <f t="shared" si="0"/>
        <v>Masaje120minPrenatalORIENTE</v>
      </c>
      <c r="G8" s="1">
        <v>76000</v>
      </c>
      <c r="H8" s="1">
        <v>38319</v>
      </c>
    </row>
    <row r="9" spans="1:8" ht="14.25" customHeight="1">
      <c r="A9" s="3" t="s">
        <v>82</v>
      </c>
      <c r="B9" s="3" t="s">
        <v>83</v>
      </c>
      <c r="C9" s="3" t="s">
        <v>84</v>
      </c>
      <c r="D9" s="3" t="s">
        <v>123</v>
      </c>
      <c r="E9" s="3" t="s">
        <v>199</v>
      </c>
      <c r="F9" s="3" t="str">
        <f t="shared" si="0"/>
        <v>Masaje60minTejido profundoORIENTE</v>
      </c>
      <c r="G9" s="1">
        <v>45000</v>
      </c>
      <c r="H9" s="1">
        <v>22689.0756302521</v>
      </c>
    </row>
    <row r="10" spans="1:8" ht="14.25" customHeight="1">
      <c r="A10" s="3" t="s">
        <v>82</v>
      </c>
      <c r="B10" s="3" t="s">
        <v>83</v>
      </c>
      <c r="C10" s="3" t="s">
        <v>146</v>
      </c>
      <c r="D10" s="3" t="s">
        <v>123</v>
      </c>
      <c r="E10" s="3" t="s">
        <v>199</v>
      </c>
      <c r="F10" s="3" t="str">
        <f t="shared" si="0"/>
        <v>Masaje90minTejido profundoORIENTE</v>
      </c>
      <c r="G10" s="1">
        <v>63000</v>
      </c>
      <c r="H10" s="1">
        <v>31765</v>
      </c>
    </row>
    <row r="11" spans="1:8" ht="14.25" customHeight="1">
      <c r="A11" s="3" t="s">
        <v>82</v>
      </c>
      <c r="B11" s="3" t="s">
        <v>83</v>
      </c>
      <c r="C11" s="3" t="s">
        <v>120</v>
      </c>
      <c r="D11" s="3" t="s">
        <v>123</v>
      </c>
      <c r="E11" s="3" t="s">
        <v>199</v>
      </c>
      <c r="F11" s="3" t="str">
        <f t="shared" si="0"/>
        <v>Masaje120minTejido profundoORIENTE</v>
      </c>
      <c r="G11" s="1">
        <v>76000</v>
      </c>
      <c r="H11" s="1">
        <v>38319.327731092439</v>
      </c>
    </row>
    <row r="12" spans="1:8" ht="14.25" customHeight="1">
      <c r="A12" s="3" t="s">
        <v>82</v>
      </c>
      <c r="B12" s="3" t="s">
        <v>83</v>
      </c>
      <c r="C12" s="3" t="s">
        <v>84</v>
      </c>
      <c r="D12" s="3" t="s">
        <v>150</v>
      </c>
      <c r="E12" s="3" t="s">
        <v>199</v>
      </c>
      <c r="F12" s="3" t="str">
        <f t="shared" si="0"/>
        <v>Masaje60minDeportivoORIENTE</v>
      </c>
      <c r="G12" s="1">
        <v>45000</v>
      </c>
      <c r="H12" s="1">
        <v>22689.0756302521</v>
      </c>
    </row>
    <row r="13" spans="1:8" ht="14.25" customHeight="1">
      <c r="A13" s="3" t="s">
        <v>82</v>
      </c>
      <c r="B13" s="3" t="s">
        <v>83</v>
      </c>
      <c r="C13" s="3" t="s">
        <v>146</v>
      </c>
      <c r="D13" s="3" t="s">
        <v>150</v>
      </c>
      <c r="E13" s="3" t="s">
        <v>199</v>
      </c>
      <c r="F13" s="3" t="str">
        <f t="shared" si="0"/>
        <v>Masaje90minDeportivoORIENTE</v>
      </c>
      <c r="G13" s="1">
        <v>63000</v>
      </c>
      <c r="H13" s="1">
        <v>31765</v>
      </c>
    </row>
    <row r="14" spans="1:8" ht="14.25" customHeight="1">
      <c r="A14" s="3" t="s">
        <v>82</v>
      </c>
      <c r="B14" s="3" t="s">
        <v>83</v>
      </c>
      <c r="C14" s="3" t="s">
        <v>120</v>
      </c>
      <c r="D14" s="3" t="s">
        <v>150</v>
      </c>
      <c r="E14" s="3" t="s">
        <v>199</v>
      </c>
      <c r="F14" s="3" t="str">
        <f t="shared" si="0"/>
        <v>Masaje120minDeportivoORIENTE</v>
      </c>
      <c r="G14" s="1">
        <v>76000</v>
      </c>
      <c r="H14" s="1">
        <v>38319.327731092439</v>
      </c>
    </row>
    <row r="15" spans="1:8" ht="14.25" customHeight="1">
      <c r="A15" s="3" t="s">
        <v>82</v>
      </c>
      <c r="B15" s="3" t="s">
        <v>119</v>
      </c>
      <c r="C15" s="3" t="s">
        <v>84</v>
      </c>
      <c r="D15" s="3" t="s">
        <v>85</v>
      </c>
      <c r="E15" s="3" t="s">
        <v>199</v>
      </c>
      <c r="F15" s="3" t="str">
        <f t="shared" si="0"/>
        <v>Masaje60minRelajanteORIENTE</v>
      </c>
      <c r="G15" s="1">
        <v>45000</v>
      </c>
      <c r="H15" s="1">
        <v>22689</v>
      </c>
    </row>
    <row r="16" spans="1:8" ht="14.25" customHeight="1">
      <c r="A16" s="3" t="s">
        <v>82</v>
      </c>
      <c r="B16" s="3" t="s">
        <v>119</v>
      </c>
      <c r="C16" s="3" t="s">
        <v>146</v>
      </c>
      <c r="D16" s="3" t="s">
        <v>85</v>
      </c>
      <c r="E16" s="3" t="s">
        <v>199</v>
      </c>
      <c r="F16" s="3" t="str">
        <f t="shared" si="0"/>
        <v>Masaje90minRelajanteORIENTE</v>
      </c>
      <c r="G16" s="1">
        <v>63000</v>
      </c>
      <c r="H16" s="1">
        <v>31765</v>
      </c>
    </row>
    <row r="17" spans="1:8" ht="14.25" customHeight="1">
      <c r="A17" s="3" t="s">
        <v>82</v>
      </c>
      <c r="B17" s="3" t="s">
        <v>119</v>
      </c>
      <c r="C17" s="3" t="s">
        <v>120</v>
      </c>
      <c r="D17" s="3" t="s">
        <v>85</v>
      </c>
      <c r="E17" s="3" t="s">
        <v>199</v>
      </c>
      <c r="F17" s="3" t="str">
        <f t="shared" si="0"/>
        <v>Masaje120minRelajanteORIENTE</v>
      </c>
      <c r="G17" s="1">
        <v>76000</v>
      </c>
      <c r="H17" s="1">
        <v>38319</v>
      </c>
    </row>
    <row r="18" spans="1:8" ht="14.25" customHeight="1">
      <c r="A18" s="3" t="s">
        <v>82</v>
      </c>
      <c r="B18" s="3" t="s">
        <v>119</v>
      </c>
      <c r="C18" s="3" t="s">
        <v>84</v>
      </c>
      <c r="D18" s="3" t="s">
        <v>100</v>
      </c>
      <c r="E18" s="3" t="s">
        <v>199</v>
      </c>
      <c r="F18" s="3" t="str">
        <f t="shared" si="0"/>
        <v>Masaje60minPrenatalORIENTE</v>
      </c>
      <c r="G18" s="1">
        <v>45000</v>
      </c>
      <c r="H18" s="1">
        <v>22689</v>
      </c>
    </row>
    <row r="19" spans="1:8" ht="14.25" customHeight="1">
      <c r="A19" s="3" t="s">
        <v>82</v>
      </c>
      <c r="B19" s="3" t="s">
        <v>119</v>
      </c>
      <c r="C19" s="3" t="s">
        <v>146</v>
      </c>
      <c r="D19" s="3" t="s">
        <v>100</v>
      </c>
      <c r="E19" s="3" t="s">
        <v>199</v>
      </c>
      <c r="F19" s="3" t="str">
        <f t="shared" si="0"/>
        <v>Masaje90minPrenatalORIENTE</v>
      </c>
      <c r="G19" s="1">
        <v>63000</v>
      </c>
      <c r="H19" s="1">
        <v>31765</v>
      </c>
    </row>
    <row r="20" spans="1:8" ht="14.25" customHeight="1">
      <c r="A20" s="3" t="s">
        <v>82</v>
      </c>
      <c r="B20" s="3" t="s">
        <v>119</v>
      </c>
      <c r="C20" s="3" t="s">
        <v>120</v>
      </c>
      <c r="D20" s="3" t="s">
        <v>100</v>
      </c>
      <c r="E20" s="3" t="s">
        <v>199</v>
      </c>
      <c r="F20" s="3" t="str">
        <f t="shared" si="0"/>
        <v>Masaje120minPrenatalORIENTE</v>
      </c>
      <c r="G20" s="1">
        <v>76000</v>
      </c>
      <c r="H20" s="1">
        <v>38319</v>
      </c>
    </row>
    <row r="21" spans="1:8" ht="14.25" customHeight="1">
      <c r="A21" s="3" t="s">
        <v>82</v>
      </c>
      <c r="B21" s="3" t="s">
        <v>119</v>
      </c>
      <c r="C21" s="3" t="s">
        <v>84</v>
      </c>
      <c r="D21" s="3" t="s">
        <v>123</v>
      </c>
      <c r="E21" s="3" t="s">
        <v>199</v>
      </c>
      <c r="F21" s="3" t="str">
        <f t="shared" si="0"/>
        <v>Masaje60minTejido profundoORIENTE</v>
      </c>
      <c r="G21" s="1">
        <v>45000</v>
      </c>
      <c r="H21" s="1">
        <v>22689.0756302521</v>
      </c>
    </row>
    <row r="22" spans="1:8" ht="14.25" customHeight="1">
      <c r="A22" s="3" t="s">
        <v>82</v>
      </c>
      <c r="B22" s="3" t="s">
        <v>119</v>
      </c>
      <c r="C22" s="3" t="s">
        <v>146</v>
      </c>
      <c r="D22" s="3" t="s">
        <v>123</v>
      </c>
      <c r="E22" s="3" t="s">
        <v>199</v>
      </c>
      <c r="F22" s="3" t="str">
        <f t="shared" si="0"/>
        <v>Masaje90minTejido profundoORIENTE</v>
      </c>
      <c r="G22" s="1">
        <v>63000</v>
      </c>
      <c r="H22" s="1">
        <v>31765</v>
      </c>
    </row>
    <row r="23" spans="1:8" ht="14.25" customHeight="1">
      <c r="A23" s="3" t="s">
        <v>82</v>
      </c>
      <c r="B23" s="3" t="s">
        <v>119</v>
      </c>
      <c r="C23" s="3" t="s">
        <v>120</v>
      </c>
      <c r="D23" s="3" t="s">
        <v>123</v>
      </c>
      <c r="E23" s="3" t="s">
        <v>199</v>
      </c>
      <c r="F23" s="3" t="str">
        <f t="shared" si="0"/>
        <v>Masaje120minTejido profundoORIENTE</v>
      </c>
      <c r="G23" s="1">
        <v>76000</v>
      </c>
      <c r="H23" s="1">
        <v>38319.327731092439</v>
      </c>
    </row>
    <row r="24" spans="1:8" ht="14.25" customHeight="1">
      <c r="A24" s="3" t="s">
        <v>82</v>
      </c>
      <c r="B24" s="3" t="s">
        <v>119</v>
      </c>
      <c r="C24" s="3" t="s">
        <v>84</v>
      </c>
      <c r="D24" s="3" t="s">
        <v>150</v>
      </c>
      <c r="E24" s="3" t="s">
        <v>199</v>
      </c>
      <c r="F24" s="3" t="str">
        <f t="shared" si="0"/>
        <v>Masaje60minDeportivoORIENTE</v>
      </c>
      <c r="G24" s="1">
        <v>45000</v>
      </c>
      <c r="H24" s="1">
        <v>22689.0756302521</v>
      </c>
    </row>
    <row r="25" spans="1:8" ht="14.25" customHeight="1">
      <c r="A25" s="3" t="s">
        <v>82</v>
      </c>
      <c r="B25" s="3" t="s">
        <v>119</v>
      </c>
      <c r="C25" s="3" t="s">
        <v>146</v>
      </c>
      <c r="D25" s="3" t="s">
        <v>150</v>
      </c>
      <c r="E25" s="3" t="s">
        <v>199</v>
      </c>
      <c r="F25" s="3" t="str">
        <f t="shared" si="0"/>
        <v>Masaje90minDeportivoORIENTE</v>
      </c>
      <c r="G25" s="1">
        <v>63000</v>
      </c>
      <c r="H25" s="1">
        <v>31765</v>
      </c>
    </row>
    <row r="26" spans="1:8" ht="14.25" customHeight="1">
      <c r="A26" s="3" t="s">
        <v>82</v>
      </c>
      <c r="B26" s="3" t="s">
        <v>119</v>
      </c>
      <c r="C26" s="3" t="s">
        <v>120</v>
      </c>
      <c r="D26" s="3" t="s">
        <v>150</v>
      </c>
      <c r="E26" s="3" t="s">
        <v>199</v>
      </c>
      <c r="F26" s="3" t="str">
        <f t="shared" si="0"/>
        <v>Masaje120minDeportivoORIENTE</v>
      </c>
      <c r="G26" s="1">
        <v>76000</v>
      </c>
      <c r="H26" s="1">
        <v>38319.327731092439</v>
      </c>
    </row>
    <row r="27" spans="1:8" ht="14.25" customHeight="1">
      <c r="A27" s="3" t="s">
        <v>137</v>
      </c>
      <c r="B27" s="3" t="s">
        <v>83</v>
      </c>
      <c r="C27" s="3" t="s">
        <v>84</v>
      </c>
      <c r="D27" s="3" t="s">
        <v>138</v>
      </c>
      <c r="E27" s="3" t="s">
        <v>199</v>
      </c>
      <c r="F27" s="3" t="str">
        <f t="shared" si="0"/>
        <v>Facial60minHidratación ProfundaORIENTE</v>
      </c>
      <c r="G27" s="1">
        <v>60000</v>
      </c>
      <c r="H27" s="1">
        <v>30252</v>
      </c>
    </row>
    <row r="28" spans="1:8" ht="14.25" customHeight="1">
      <c r="A28" s="3" t="s">
        <v>137</v>
      </c>
      <c r="B28" s="3" t="s">
        <v>83</v>
      </c>
      <c r="C28" s="3" t="s">
        <v>84</v>
      </c>
      <c r="D28" s="3" t="s">
        <v>200</v>
      </c>
      <c r="E28" s="3" t="s">
        <v>199</v>
      </c>
      <c r="F28" s="3" t="str">
        <f t="shared" si="0"/>
        <v>Facial60minLimpieza ProfundaORIENTE</v>
      </c>
      <c r="G28" s="1">
        <v>60000</v>
      </c>
      <c r="H28" s="1">
        <v>30252</v>
      </c>
    </row>
    <row r="29" spans="1:8" ht="14.25" customHeight="1">
      <c r="A29" s="3" t="s">
        <v>137</v>
      </c>
      <c r="B29" s="3" t="s">
        <v>83</v>
      </c>
      <c r="C29" s="3" t="s">
        <v>84</v>
      </c>
      <c r="D29" s="3" t="s">
        <v>201</v>
      </c>
      <c r="E29" s="3" t="s">
        <v>199</v>
      </c>
      <c r="F29" s="3" t="str">
        <f t="shared" si="0"/>
        <v>Facial60minTeen GermaineORIENTE</v>
      </c>
      <c r="G29" s="1">
        <v>60000</v>
      </c>
      <c r="H29" s="1">
        <v>30252</v>
      </c>
    </row>
    <row r="30" spans="1:8" ht="14.25" customHeight="1">
      <c r="A30" s="3" t="s">
        <v>137</v>
      </c>
      <c r="B30" s="3" t="s">
        <v>83</v>
      </c>
      <c r="C30" s="3" t="s">
        <v>84</v>
      </c>
      <c r="D30" s="3" t="s">
        <v>202</v>
      </c>
      <c r="E30" s="3" t="s">
        <v>199</v>
      </c>
      <c r="F30" s="3" t="str">
        <f t="shared" si="0"/>
        <v>Facial60minThe ultimate grooming facial FOR HIMORIENTE</v>
      </c>
      <c r="G30" s="1">
        <v>60000</v>
      </c>
      <c r="H30" s="1">
        <v>30252</v>
      </c>
    </row>
    <row r="31" spans="1:8" ht="14.25" customHeight="1">
      <c r="A31" s="3" t="s">
        <v>163</v>
      </c>
      <c r="B31" s="3" t="s">
        <v>83</v>
      </c>
      <c r="C31" s="3" t="s">
        <v>84</v>
      </c>
      <c r="D31" s="3" t="s">
        <v>203</v>
      </c>
      <c r="E31" s="3" t="s">
        <v>199</v>
      </c>
      <c r="F31" s="3" t="str">
        <f t="shared" si="0"/>
        <v>Facial + Masaje60minHidratación Profunda + RelajanteORIENTE</v>
      </c>
      <c r="G31" s="1">
        <v>95000</v>
      </c>
      <c r="H31" s="1">
        <v>47889</v>
      </c>
    </row>
    <row r="32" spans="1:8" ht="14.25" customHeight="1">
      <c r="A32" s="3" t="s">
        <v>163</v>
      </c>
      <c r="B32" s="3" t="s">
        <v>83</v>
      </c>
      <c r="C32" s="3" t="s">
        <v>84</v>
      </c>
      <c r="D32" s="3" t="s">
        <v>204</v>
      </c>
      <c r="E32" s="3" t="s">
        <v>199</v>
      </c>
      <c r="F32" s="3" t="str">
        <f t="shared" si="0"/>
        <v>Facial + Masaje60minHidratación Profunda + PrenatalORIENTE</v>
      </c>
      <c r="G32" s="1">
        <v>95000</v>
      </c>
      <c r="H32" s="1">
        <v>47889</v>
      </c>
    </row>
    <row r="33" spans="1:8" ht="14.25" customHeight="1">
      <c r="A33" s="3" t="s">
        <v>163</v>
      </c>
      <c r="B33" s="3" t="s">
        <v>83</v>
      </c>
      <c r="C33" s="3" t="s">
        <v>84</v>
      </c>
      <c r="D33" s="3" t="s">
        <v>205</v>
      </c>
      <c r="E33" s="3" t="s">
        <v>199</v>
      </c>
      <c r="F33" s="3" t="str">
        <f t="shared" si="0"/>
        <v>Facial + Masaje60minHidratación Profunda + Tejido profundoORIENTE</v>
      </c>
      <c r="G33" s="1">
        <v>95000</v>
      </c>
      <c r="H33" s="1">
        <v>47889</v>
      </c>
    </row>
    <row r="34" spans="1:8" ht="14.25" customHeight="1">
      <c r="A34" s="3" t="s">
        <v>163</v>
      </c>
      <c r="B34" s="3" t="s">
        <v>83</v>
      </c>
      <c r="C34" s="3" t="s">
        <v>84</v>
      </c>
      <c r="D34" s="3" t="s">
        <v>206</v>
      </c>
      <c r="E34" s="3" t="s">
        <v>199</v>
      </c>
      <c r="F34" s="3" t="str">
        <f t="shared" si="0"/>
        <v>Facial + Masaje60minHidratación Profunda + DeportivoORIENTE</v>
      </c>
      <c r="G34" s="1">
        <v>95000</v>
      </c>
      <c r="H34" s="1">
        <v>47889</v>
      </c>
    </row>
    <row r="35" spans="1:8" ht="14.25" customHeight="1">
      <c r="A35" s="3" t="s">
        <v>163</v>
      </c>
      <c r="B35" s="3" t="s">
        <v>83</v>
      </c>
      <c r="C35" s="3" t="s">
        <v>146</v>
      </c>
      <c r="D35" s="3" t="s">
        <v>203</v>
      </c>
      <c r="E35" s="3" t="s">
        <v>199</v>
      </c>
      <c r="F35" s="3" t="str">
        <f t="shared" si="0"/>
        <v>Facial + Masaje90minHidratación Profunda + RelajanteORIENTE</v>
      </c>
      <c r="G35" s="1">
        <v>115000</v>
      </c>
      <c r="H35" s="1">
        <v>57983</v>
      </c>
    </row>
    <row r="36" spans="1:8" ht="14.25" customHeight="1">
      <c r="A36" s="3" t="s">
        <v>163</v>
      </c>
      <c r="B36" s="3" t="s">
        <v>83</v>
      </c>
      <c r="C36" s="3" t="s">
        <v>146</v>
      </c>
      <c r="D36" s="3" t="s">
        <v>204</v>
      </c>
      <c r="E36" s="3" t="s">
        <v>199</v>
      </c>
      <c r="F36" s="3" t="str">
        <f t="shared" si="0"/>
        <v>Facial + Masaje90minHidratación Profunda + PrenatalORIENTE</v>
      </c>
      <c r="G36" s="1">
        <v>115000</v>
      </c>
      <c r="H36" s="1">
        <v>57983</v>
      </c>
    </row>
    <row r="37" spans="1:8" ht="14.25" customHeight="1">
      <c r="A37" s="3" t="s">
        <v>163</v>
      </c>
      <c r="B37" s="3" t="s">
        <v>83</v>
      </c>
      <c r="C37" s="3" t="s">
        <v>146</v>
      </c>
      <c r="D37" s="3" t="s">
        <v>205</v>
      </c>
      <c r="E37" s="3" t="s">
        <v>199</v>
      </c>
      <c r="F37" s="3" t="str">
        <f t="shared" si="0"/>
        <v>Facial + Masaje90minHidratación Profunda + Tejido profundoORIENTE</v>
      </c>
      <c r="G37" s="1">
        <v>115000</v>
      </c>
      <c r="H37" s="1">
        <v>57983</v>
      </c>
    </row>
    <row r="38" spans="1:8" ht="14.25" customHeight="1">
      <c r="A38" s="3" t="s">
        <v>163</v>
      </c>
      <c r="B38" s="3" t="s">
        <v>83</v>
      </c>
      <c r="C38" s="3" t="s">
        <v>146</v>
      </c>
      <c r="D38" s="3" t="s">
        <v>206</v>
      </c>
      <c r="E38" s="3" t="s">
        <v>199</v>
      </c>
      <c r="F38" s="3" t="str">
        <f t="shared" si="0"/>
        <v>Facial + Masaje90minHidratación Profunda + DeportivoORIENTE</v>
      </c>
      <c r="G38" s="1">
        <v>115000</v>
      </c>
      <c r="H38" s="1">
        <v>57983</v>
      </c>
    </row>
    <row r="39" spans="1:8" ht="14.25" customHeight="1">
      <c r="A39" s="3" t="s">
        <v>163</v>
      </c>
      <c r="B39" s="3" t="s">
        <v>83</v>
      </c>
      <c r="C39" s="3" t="s">
        <v>84</v>
      </c>
      <c r="D39" s="3" t="s">
        <v>207</v>
      </c>
      <c r="E39" s="3" t="s">
        <v>199</v>
      </c>
      <c r="F39" s="3" t="str">
        <f t="shared" si="0"/>
        <v>Facial + Masaje60minLimpieza Profunda + DeportivoORIENTE</v>
      </c>
      <c r="G39" s="1">
        <v>95000</v>
      </c>
      <c r="H39" s="1">
        <v>47889</v>
      </c>
    </row>
    <row r="40" spans="1:8" ht="14.25" customHeight="1">
      <c r="A40" s="3" t="s">
        <v>163</v>
      </c>
      <c r="B40" s="3" t="s">
        <v>83</v>
      </c>
      <c r="C40" s="3" t="s">
        <v>84</v>
      </c>
      <c r="D40" s="3" t="s">
        <v>207</v>
      </c>
      <c r="E40" s="3" t="s">
        <v>208</v>
      </c>
      <c r="F40" s="3" t="str">
        <f t="shared" si="0"/>
        <v>Facial + Masaje60minLimpieza Profunda + DeportivoPONIENTE</v>
      </c>
      <c r="G40" s="1">
        <v>95000</v>
      </c>
      <c r="H40" s="1">
        <v>47889</v>
      </c>
    </row>
    <row r="41" spans="1:8" ht="14.25" customHeight="1">
      <c r="A41" s="3" t="s">
        <v>163</v>
      </c>
      <c r="B41" s="3" t="s">
        <v>83</v>
      </c>
      <c r="C41" s="3" t="s">
        <v>84</v>
      </c>
      <c r="D41" s="3" t="s">
        <v>207</v>
      </c>
      <c r="E41" s="3" t="s">
        <v>209</v>
      </c>
      <c r="F41" s="3" t="str">
        <f t="shared" si="0"/>
        <v>Facial + Masaje60minLimpieza Profunda + DeportivoNORTE</v>
      </c>
      <c r="G41" s="1">
        <v>95000</v>
      </c>
      <c r="H41" s="1">
        <v>47889</v>
      </c>
    </row>
    <row r="42" spans="1:8" ht="14.25" customHeight="1">
      <c r="A42" s="3" t="s">
        <v>163</v>
      </c>
      <c r="B42" s="3" t="s">
        <v>83</v>
      </c>
      <c r="C42" s="3" t="s">
        <v>84</v>
      </c>
      <c r="D42" s="3" t="s">
        <v>207</v>
      </c>
      <c r="E42" s="3" t="s">
        <v>210</v>
      </c>
      <c r="F42" s="3" t="str">
        <f t="shared" si="0"/>
        <v>Facial + Masaje60minLimpieza Profunda + DeportivoSUR</v>
      </c>
      <c r="G42" s="1">
        <v>95000</v>
      </c>
      <c r="H42" s="1">
        <v>47889</v>
      </c>
    </row>
    <row r="43" spans="1:8" ht="14.25" customHeight="1">
      <c r="A43" s="3" t="s">
        <v>163</v>
      </c>
      <c r="B43" s="3" t="s">
        <v>83</v>
      </c>
      <c r="C43" s="3" t="s">
        <v>84</v>
      </c>
      <c r="D43" s="3" t="s">
        <v>207</v>
      </c>
      <c r="E43" s="3" t="s">
        <v>211</v>
      </c>
      <c r="F43" s="3" t="str">
        <f t="shared" si="0"/>
        <v>Facial + Masaje60minLimpieza Profunda + DeportivoZONA COSTA</v>
      </c>
      <c r="G43" s="1">
        <v>95000</v>
      </c>
      <c r="H43" s="1">
        <v>47889</v>
      </c>
    </row>
    <row r="44" spans="1:8" ht="14.25" customHeight="1">
      <c r="A44" s="3" t="s">
        <v>163</v>
      </c>
      <c r="B44" s="3" t="s">
        <v>83</v>
      </c>
      <c r="C44" s="3" t="s">
        <v>84</v>
      </c>
      <c r="D44" s="3" t="s">
        <v>207</v>
      </c>
      <c r="E44" s="3" t="s">
        <v>108</v>
      </c>
      <c r="F44" s="3" t="str">
        <f t="shared" si="0"/>
        <v>Facial + Masaje60minLimpieza Profunda + DeportivoLO BARNECHEA</v>
      </c>
      <c r="G44" s="1">
        <v>95000</v>
      </c>
      <c r="H44" s="1">
        <v>47889</v>
      </c>
    </row>
    <row r="45" spans="1:8" ht="14.25" customHeight="1">
      <c r="A45" s="3" t="s">
        <v>163</v>
      </c>
      <c r="B45" s="3" t="s">
        <v>83</v>
      </c>
      <c r="C45" s="3" t="s">
        <v>84</v>
      </c>
      <c r="D45" s="3" t="s">
        <v>207</v>
      </c>
      <c r="E45" s="3" t="s">
        <v>101</v>
      </c>
      <c r="F45" s="3" t="str">
        <f t="shared" si="0"/>
        <v>Facial + Masaje60minLimpieza Profunda + DeportivoCOLINA</v>
      </c>
      <c r="G45" s="1">
        <v>95000</v>
      </c>
      <c r="H45" s="1">
        <v>47889</v>
      </c>
    </row>
    <row r="46" spans="1:8" ht="14.25" customHeight="1">
      <c r="A46" s="3" t="s">
        <v>163</v>
      </c>
      <c r="B46" s="3" t="s">
        <v>83</v>
      </c>
      <c r="C46" s="3" t="s">
        <v>146</v>
      </c>
      <c r="D46" s="3" t="s">
        <v>212</v>
      </c>
      <c r="E46" s="3" t="s">
        <v>199</v>
      </c>
      <c r="F46" s="3" t="str">
        <f t="shared" si="0"/>
        <v>Facial + Masaje90minLimpieza profunda + DeportivoORIENTE</v>
      </c>
      <c r="G46" s="1">
        <v>115000</v>
      </c>
      <c r="H46" s="1">
        <v>57983</v>
      </c>
    </row>
    <row r="47" spans="1:8" ht="14.25" customHeight="1">
      <c r="A47" s="3" t="s">
        <v>163</v>
      </c>
      <c r="B47" s="3" t="s">
        <v>83</v>
      </c>
      <c r="C47" s="3" t="s">
        <v>84</v>
      </c>
      <c r="D47" s="3" t="s">
        <v>213</v>
      </c>
      <c r="E47" s="3" t="s">
        <v>199</v>
      </c>
      <c r="F47" s="3" t="str">
        <f t="shared" si="0"/>
        <v>Facial + Masaje60minTeen Germaine + RelajanteORIENTE</v>
      </c>
      <c r="G47" s="1">
        <v>95000</v>
      </c>
      <c r="H47" s="1">
        <v>47889</v>
      </c>
    </row>
    <row r="48" spans="1:8" ht="14.25" customHeight="1">
      <c r="A48" s="3" t="s">
        <v>163</v>
      </c>
      <c r="B48" s="3" t="s">
        <v>83</v>
      </c>
      <c r="C48" s="3" t="s">
        <v>84</v>
      </c>
      <c r="D48" s="3" t="s">
        <v>214</v>
      </c>
      <c r="E48" s="3" t="s">
        <v>199</v>
      </c>
      <c r="F48" s="3" t="str">
        <f t="shared" si="0"/>
        <v>Facial + Masaje60minTeen Germaine + PrenatalORIENTE</v>
      </c>
      <c r="G48" s="1">
        <v>95000</v>
      </c>
      <c r="H48" s="1">
        <v>47889</v>
      </c>
    </row>
    <row r="49" spans="1:8" ht="14.25" customHeight="1">
      <c r="A49" s="3" t="s">
        <v>163</v>
      </c>
      <c r="B49" s="3" t="s">
        <v>83</v>
      </c>
      <c r="C49" s="3" t="s">
        <v>84</v>
      </c>
      <c r="D49" s="3" t="s">
        <v>215</v>
      </c>
      <c r="E49" s="3" t="s">
        <v>199</v>
      </c>
      <c r="F49" s="3" t="str">
        <f t="shared" si="0"/>
        <v>Facial + Masaje60minTeen Germaine + Tejido profundoORIENTE</v>
      </c>
      <c r="G49" s="1">
        <v>95000</v>
      </c>
      <c r="H49" s="1">
        <v>47889</v>
      </c>
    </row>
    <row r="50" spans="1:8" ht="14.25" customHeight="1">
      <c r="A50" s="3" t="s">
        <v>163</v>
      </c>
      <c r="B50" s="3" t="s">
        <v>83</v>
      </c>
      <c r="C50" s="3" t="s">
        <v>84</v>
      </c>
      <c r="D50" s="3" t="s">
        <v>216</v>
      </c>
      <c r="E50" s="3" t="s">
        <v>199</v>
      </c>
      <c r="F50" s="3" t="str">
        <f t="shared" si="0"/>
        <v>Facial + Masaje60minTeen Germaine + DeportivoORIENTE</v>
      </c>
      <c r="G50" s="1">
        <v>95000</v>
      </c>
      <c r="H50" s="1">
        <v>47889</v>
      </c>
    </row>
    <row r="51" spans="1:8" ht="14.25" customHeight="1">
      <c r="A51" s="3" t="s">
        <v>163</v>
      </c>
      <c r="B51" s="3" t="s">
        <v>83</v>
      </c>
      <c r="C51" s="3" t="s">
        <v>146</v>
      </c>
      <c r="D51" s="3" t="s">
        <v>213</v>
      </c>
      <c r="E51" s="3" t="s">
        <v>199</v>
      </c>
      <c r="F51" s="3" t="str">
        <f t="shared" si="0"/>
        <v>Facial + Masaje90minTeen Germaine + RelajanteORIENTE</v>
      </c>
      <c r="G51" s="1">
        <v>115000</v>
      </c>
      <c r="H51" s="1">
        <v>57983</v>
      </c>
    </row>
    <row r="52" spans="1:8" ht="14.25" customHeight="1">
      <c r="A52" s="3" t="s">
        <v>163</v>
      </c>
      <c r="B52" s="3" t="s">
        <v>83</v>
      </c>
      <c r="C52" s="3" t="s">
        <v>146</v>
      </c>
      <c r="D52" s="3" t="s">
        <v>214</v>
      </c>
      <c r="E52" s="3" t="s">
        <v>199</v>
      </c>
      <c r="F52" s="3" t="str">
        <f t="shared" si="0"/>
        <v>Facial + Masaje90minTeen Germaine + PrenatalORIENTE</v>
      </c>
      <c r="G52" s="1">
        <v>115000</v>
      </c>
      <c r="H52" s="1">
        <v>57983</v>
      </c>
    </row>
    <row r="53" spans="1:8" ht="14.25" customHeight="1">
      <c r="A53" s="3" t="s">
        <v>163</v>
      </c>
      <c r="B53" s="3" t="s">
        <v>83</v>
      </c>
      <c r="C53" s="3" t="s">
        <v>146</v>
      </c>
      <c r="D53" s="3" t="s">
        <v>215</v>
      </c>
      <c r="E53" s="3" t="s">
        <v>199</v>
      </c>
      <c r="F53" s="3" t="str">
        <f t="shared" si="0"/>
        <v>Facial + Masaje90minTeen Germaine + Tejido profundoORIENTE</v>
      </c>
      <c r="G53" s="1">
        <v>115000</v>
      </c>
      <c r="H53" s="1">
        <v>57983</v>
      </c>
    </row>
    <row r="54" spans="1:8" ht="14.25" customHeight="1">
      <c r="A54" s="3" t="s">
        <v>163</v>
      </c>
      <c r="B54" s="3" t="s">
        <v>83</v>
      </c>
      <c r="C54" s="3" t="s">
        <v>146</v>
      </c>
      <c r="D54" s="3" t="s">
        <v>216</v>
      </c>
      <c r="E54" s="3" t="s">
        <v>199</v>
      </c>
      <c r="F54" s="3" t="str">
        <f t="shared" si="0"/>
        <v>Facial + Masaje90minTeen Germaine + DeportivoORIENTE</v>
      </c>
      <c r="G54" s="1">
        <v>115000</v>
      </c>
      <c r="H54" s="1">
        <v>57983</v>
      </c>
    </row>
    <row r="55" spans="1:8" ht="14.25" customHeight="1">
      <c r="A55" s="3" t="s">
        <v>163</v>
      </c>
      <c r="B55" s="3" t="s">
        <v>83</v>
      </c>
      <c r="C55" s="3" t="s">
        <v>84</v>
      </c>
      <c r="D55" s="3" t="s">
        <v>217</v>
      </c>
      <c r="E55" s="3" t="s">
        <v>199</v>
      </c>
      <c r="F55" s="3" t="str">
        <f t="shared" si="0"/>
        <v>Facial + Masaje60minFacial para él + RelajanteORIENTE</v>
      </c>
      <c r="G55" s="1">
        <v>95000</v>
      </c>
      <c r="H55" s="1">
        <v>47889</v>
      </c>
    </row>
    <row r="56" spans="1:8" ht="14.25" customHeight="1">
      <c r="A56" s="3" t="s">
        <v>163</v>
      </c>
      <c r="B56" s="3" t="s">
        <v>83</v>
      </c>
      <c r="C56" s="3" t="s">
        <v>84</v>
      </c>
      <c r="D56" s="3" t="s">
        <v>218</v>
      </c>
      <c r="E56" s="3" t="s">
        <v>199</v>
      </c>
      <c r="F56" s="3" t="str">
        <f t="shared" si="0"/>
        <v>Facial + Masaje60minFacial para él  + PrenatalORIENTE</v>
      </c>
      <c r="G56" s="1">
        <v>95000</v>
      </c>
      <c r="H56" s="1">
        <v>47889</v>
      </c>
    </row>
    <row r="57" spans="1:8" ht="14.25" customHeight="1">
      <c r="A57" s="3" t="s">
        <v>163</v>
      </c>
      <c r="B57" s="3" t="s">
        <v>83</v>
      </c>
      <c r="C57" s="3" t="s">
        <v>84</v>
      </c>
      <c r="D57" s="3" t="s">
        <v>219</v>
      </c>
      <c r="E57" s="3" t="s">
        <v>199</v>
      </c>
      <c r="F57" s="3" t="str">
        <f t="shared" si="0"/>
        <v>Facial + Masaje60minFacial para él + Tejido profundoORIENTE</v>
      </c>
      <c r="G57" s="1">
        <v>95000</v>
      </c>
      <c r="H57" s="1">
        <v>47889</v>
      </c>
    </row>
    <row r="58" spans="1:8" ht="14.25" customHeight="1">
      <c r="A58" s="3" t="s">
        <v>163</v>
      </c>
      <c r="B58" s="3" t="s">
        <v>83</v>
      </c>
      <c r="C58" s="3" t="s">
        <v>84</v>
      </c>
      <c r="D58" s="3" t="s">
        <v>220</v>
      </c>
      <c r="E58" s="3" t="s">
        <v>199</v>
      </c>
      <c r="F58" s="3" t="str">
        <f t="shared" si="0"/>
        <v>Facial + Masaje60minFacial para él  + DeportivoORIENTE</v>
      </c>
      <c r="G58" s="1">
        <v>95000</v>
      </c>
      <c r="H58" s="1">
        <v>47889</v>
      </c>
    </row>
    <row r="59" spans="1:8" ht="14.25" customHeight="1">
      <c r="A59" s="3" t="s">
        <v>163</v>
      </c>
      <c r="B59" s="3" t="s">
        <v>83</v>
      </c>
      <c r="C59" s="3" t="s">
        <v>146</v>
      </c>
      <c r="D59" s="3" t="s">
        <v>221</v>
      </c>
      <c r="E59" s="3" t="s">
        <v>199</v>
      </c>
      <c r="F59" s="3" t="str">
        <f t="shared" si="0"/>
        <v>Facial + Masaje90minFacial para él  + RelajanteORIENTE</v>
      </c>
      <c r="G59" s="1">
        <v>115000</v>
      </c>
      <c r="H59" s="1">
        <v>57983</v>
      </c>
    </row>
    <row r="60" spans="1:8" ht="14.25" customHeight="1">
      <c r="A60" s="3" t="s">
        <v>163</v>
      </c>
      <c r="B60" s="3" t="s">
        <v>83</v>
      </c>
      <c r="C60" s="3" t="s">
        <v>146</v>
      </c>
      <c r="D60" s="3" t="s">
        <v>218</v>
      </c>
      <c r="E60" s="3" t="s">
        <v>199</v>
      </c>
      <c r="F60" s="3" t="str">
        <f t="shared" si="0"/>
        <v>Facial + Masaje90minFacial para él  + PrenatalORIENTE</v>
      </c>
      <c r="G60" s="1">
        <v>115000</v>
      </c>
      <c r="H60" s="1">
        <v>57983</v>
      </c>
    </row>
    <row r="61" spans="1:8" ht="14.25" customHeight="1">
      <c r="A61" s="3" t="s">
        <v>163</v>
      </c>
      <c r="B61" s="3" t="s">
        <v>83</v>
      </c>
      <c r="C61" s="3" t="s">
        <v>146</v>
      </c>
      <c r="D61" s="3" t="s">
        <v>219</v>
      </c>
      <c r="E61" s="3" t="s">
        <v>199</v>
      </c>
      <c r="F61" s="3" t="str">
        <f t="shared" si="0"/>
        <v>Facial + Masaje90minFacial para él + Tejido profundoORIENTE</v>
      </c>
      <c r="G61" s="1">
        <v>115000</v>
      </c>
      <c r="H61" s="1">
        <v>57983</v>
      </c>
    </row>
    <row r="62" spans="1:8" ht="14.25" customHeight="1">
      <c r="A62" s="3" t="s">
        <v>163</v>
      </c>
      <c r="B62" s="3" t="s">
        <v>83</v>
      </c>
      <c r="C62" s="3" t="s">
        <v>146</v>
      </c>
      <c r="D62" s="3" t="s">
        <v>220</v>
      </c>
      <c r="E62" s="3" t="s">
        <v>199</v>
      </c>
      <c r="F62" s="3" t="str">
        <f t="shared" si="0"/>
        <v>Facial + Masaje90minFacial para él  + DeportivoORIENTE</v>
      </c>
      <c r="G62" s="1">
        <v>115000</v>
      </c>
      <c r="H62" s="1">
        <v>57983</v>
      </c>
    </row>
    <row r="63" spans="1:8" ht="14.25" customHeight="1">
      <c r="A63" s="3" t="s">
        <v>82</v>
      </c>
      <c r="B63" s="3" t="s">
        <v>83</v>
      </c>
      <c r="C63" s="3" t="s">
        <v>84</v>
      </c>
      <c r="D63" s="3" t="s">
        <v>85</v>
      </c>
      <c r="E63" s="3" t="s">
        <v>208</v>
      </c>
      <c r="F63" s="3" t="str">
        <f t="shared" si="0"/>
        <v>Masaje60minRelajantePONIENTE</v>
      </c>
      <c r="G63" s="1">
        <v>45000</v>
      </c>
      <c r="H63" s="1">
        <v>22689</v>
      </c>
    </row>
    <row r="64" spans="1:8" ht="14.25" customHeight="1">
      <c r="A64" s="3" t="s">
        <v>82</v>
      </c>
      <c r="B64" s="3" t="s">
        <v>83</v>
      </c>
      <c r="C64" s="3" t="s">
        <v>146</v>
      </c>
      <c r="D64" s="3" t="s">
        <v>85</v>
      </c>
      <c r="E64" s="3" t="s">
        <v>208</v>
      </c>
      <c r="F64" s="3" t="str">
        <f t="shared" si="0"/>
        <v>Masaje90minRelajantePONIENTE</v>
      </c>
      <c r="G64" s="1">
        <v>63000</v>
      </c>
      <c r="H64" s="1">
        <v>31765</v>
      </c>
    </row>
    <row r="65" spans="1:8" ht="14.25" customHeight="1">
      <c r="A65" s="3" t="s">
        <v>82</v>
      </c>
      <c r="B65" s="3" t="s">
        <v>83</v>
      </c>
      <c r="C65" s="3" t="s">
        <v>120</v>
      </c>
      <c r="D65" s="3" t="s">
        <v>85</v>
      </c>
      <c r="E65" s="3" t="s">
        <v>208</v>
      </c>
      <c r="F65" s="3" t="str">
        <f t="shared" si="0"/>
        <v>Masaje120minRelajantePONIENTE</v>
      </c>
      <c r="G65" s="1">
        <v>76000</v>
      </c>
      <c r="H65" s="1">
        <v>38319</v>
      </c>
    </row>
    <row r="66" spans="1:8" ht="14.25" customHeight="1">
      <c r="A66" s="3" t="s">
        <v>82</v>
      </c>
      <c r="B66" s="3" t="s">
        <v>83</v>
      </c>
      <c r="C66" s="3" t="s">
        <v>84</v>
      </c>
      <c r="D66" s="3" t="s">
        <v>100</v>
      </c>
      <c r="E66" s="3" t="s">
        <v>208</v>
      </c>
      <c r="F66" s="3" t="str">
        <f t="shared" si="0"/>
        <v>Masaje60minPrenatalPONIENTE</v>
      </c>
      <c r="G66" s="1">
        <v>45000</v>
      </c>
      <c r="H66" s="1">
        <v>22689</v>
      </c>
    </row>
    <row r="67" spans="1:8" ht="14.25" customHeight="1">
      <c r="A67" s="3" t="s">
        <v>82</v>
      </c>
      <c r="B67" s="3" t="s">
        <v>83</v>
      </c>
      <c r="C67" s="3" t="s">
        <v>146</v>
      </c>
      <c r="D67" s="3" t="s">
        <v>100</v>
      </c>
      <c r="E67" s="3" t="s">
        <v>208</v>
      </c>
      <c r="F67" s="3" t="str">
        <f t="shared" si="0"/>
        <v>Masaje90minPrenatalPONIENTE</v>
      </c>
      <c r="G67" s="1">
        <v>63000</v>
      </c>
      <c r="H67" s="1">
        <v>31765</v>
      </c>
    </row>
    <row r="68" spans="1:8" ht="14.25" customHeight="1">
      <c r="A68" s="3" t="s">
        <v>82</v>
      </c>
      <c r="B68" s="3" t="s">
        <v>83</v>
      </c>
      <c r="C68" s="3" t="s">
        <v>120</v>
      </c>
      <c r="D68" s="3" t="s">
        <v>100</v>
      </c>
      <c r="E68" s="3" t="s">
        <v>208</v>
      </c>
      <c r="F68" s="3" t="str">
        <f t="shared" si="0"/>
        <v>Masaje120minPrenatalPONIENTE</v>
      </c>
      <c r="G68" s="1">
        <v>76000</v>
      </c>
      <c r="H68" s="1">
        <v>38319</v>
      </c>
    </row>
    <row r="69" spans="1:8" ht="14.25" customHeight="1">
      <c r="A69" s="3" t="s">
        <v>82</v>
      </c>
      <c r="B69" s="3" t="s">
        <v>83</v>
      </c>
      <c r="C69" s="3" t="s">
        <v>84</v>
      </c>
      <c r="D69" s="3" t="s">
        <v>123</v>
      </c>
      <c r="E69" s="3" t="s">
        <v>208</v>
      </c>
      <c r="F69" s="3" t="str">
        <f t="shared" si="0"/>
        <v>Masaje60minTejido profundoPONIENTE</v>
      </c>
      <c r="G69" s="1">
        <v>45000</v>
      </c>
      <c r="H69" s="1">
        <v>22689.0756302521</v>
      </c>
    </row>
    <row r="70" spans="1:8" ht="14.25" customHeight="1">
      <c r="A70" s="3" t="s">
        <v>82</v>
      </c>
      <c r="B70" s="3" t="s">
        <v>83</v>
      </c>
      <c r="C70" s="3" t="s">
        <v>146</v>
      </c>
      <c r="D70" s="3" t="s">
        <v>123</v>
      </c>
      <c r="E70" s="3" t="s">
        <v>208</v>
      </c>
      <c r="F70" s="3" t="str">
        <f t="shared" si="0"/>
        <v>Masaje90minTejido profundoPONIENTE</v>
      </c>
      <c r="G70" s="1">
        <v>63000</v>
      </c>
      <c r="H70" s="1">
        <v>31765</v>
      </c>
    </row>
    <row r="71" spans="1:8" ht="14.25" customHeight="1">
      <c r="A71" s="3" t="s">
        <v>82</v>
      </c>
      <c r="B71" s="3" t="s">
        <v>83</v>
      </c>
      <c r="C71" s="3" t="s">
        <v>120</v>
      </c>
      <c r="D71" s="3" t="s">
        <v>123</v>
      </c>
      <c r="E71" s="3" t="s">
        <v>208</v>
      </c>
      <c r="F71" s="3" t="str">
        <f t="shared" si="0"/>
        <v>Masaje120minTejido profundoPONIENTE</v>
      </c>
      <c r="G71" s="1">
        <v>76000</v>
      </c>
      <c r="H71" s="1">
        <v>38319.327731092439</v>
      </c>
    </row>
    <row r="72" spans="1:8" ht="14.25" customHeight="1">
      <c r="A72" s="3" t="s">
        <v>82</v>
      </c>
      <c r="B72" s="3" t="s">
        <v>83</v>
      </c>
      <c r="C72" s="3" t="s">
        <v>84</v>
      </c>
      <c r="D72" s="3" t="s">
        <v>150</v>
      </c>
      <c r="E72" s="3" t="s">
        <v>208</v>
      </c>
      <c r="F72" s="3" t="str">
        <f t="shared" si="0"/>
        <v>Masaje60minDeportivoPONIENTE</v>
      </c>
      <c r="G72" s="1">
        <v>45000</v>
      </c>
      <c r="H72" s="1">
        <v>22689.0756302521</v>
      </c>
    </row>
    <row r="73" spans="1:8" ht="14.25" customHeight="1">
      <c r="A73" s="3" t="s">
        <v>82</v>
      </c>
      <c r="B73" s="3" t="s">
        <v>83</v>
      </c>
      <c r="C73" s="3" t="s">
        <v>146</v>
      </c>
      <c r="D73" s="3" t="s">
        <v>150</v>
      </c>
      <c r="E73" s="3" t="s">
        <v>208</v>
      </c>
      <c r="F73" s="3" t="str">
        <f t="shared" si="0"/>
        <v>Masaje90minDeportivoPONIENTE</v>
      </c>
      <c r="G73" s="1">
        <v>63000</v>
      </c>
      <c r="H73" s="1">
        <v>31765</v>
      </c>
    </row>
    <row r="74" spans="1:8" ht="14.25" customHeight="1">
      <c r="A74" s="3" t="s">
        <v>82</v>
      </c>
      <c r="B74" s="3" t="s">
        <v>83</v>
      </c>
      <c r="C74" s="3" t="s">
        <v>120</v>
      </c>
      <c r="D74" s="3" t="s">
        <v>150</v>
      </c>
      <c r="E74" s="3" t="s">
        <v>208</v>
      </c>
      <c r="F74" s="3" t="str">
        <f t="shared" si="0"/>
        <v>Masaje120minDeportivoPONIENTE</v>
      </c>
      <c r="G74" s="1">
        <v>76000</v>
      </c>
      <c r="H74" s="1">
        <v>38319.327731092439</v>
      </c>
    </row>
    <row r="75" spans="1:8" ht="14.25" customHeight="1">
      <c r="A75" s="3" t="s">
        <v>82</v>
      </c>
      <c r="B75" s="3" t="s">
        <v>119</v>
      </c>
      <c r="C75" s="3" t="s">
        <v>84</v>
      </c>
      <c r="D75" s="3" t="s">
        <v>85</v>
      </c>
      <c r="E75" s="3" t="s">
        <v>208</v>
      </c>
      <c r="F75" s="3" t="str">
        <f t="shared" si="0"/>
        <v>Masaje60minRelajantePONIENTE</v>
      </c>
      <c r="G75" s="1">
        <v>45000</v>
      </c>
      <c r="H75" s="1">
        <v>22689</v>
      </c>
    </row>
    <row r="76" spans="1:8" ht="14.25" customHeight="1">
      <c r="A76" s="3" t="s">
        <v>82</v>
      </c>
      <c r="B76" s="3" t="s">
        <v>119</v>
      </c>
      <c r="C76" s="3" t="s">
        <v>146</v>
      </c>
      <c r="D76" s="3" t="s">
        <v>85</v>
      </c>
      <c r="E76" s="3" t="s">
        <v>208</v>
      </c>
      <c r="F76" s="3" t="str">
        <f t="shared" si="0"/>
        <v>Masaje90minRelajantePONIENTE</v>
      </c>
      <c r="G76" s="1">
        <v>63000</v>
      </c>
      <c r="H76" s="1">
        <v>31765</v>
      </c>
    </row>
    <row r="77" spans="1:8" ht="14.25" customHeight="1">
      <c r="A77" s="3" t="s">
        <v>82</v>
      </c>
      <c r="B77" s="3" t="s">
        <v>119</v>
      </c>
      <c r="C77" s="3" t="s">
        <v>120</v>
      </c>
      <c r="D77" s="3" t="s">
        <v>85</v>
      </c>
      <c r="E77" s="3" t="s">
        <v>208</v>
      </c>
      <c r="F77" s="3" t="str">
        <f t="shared" si="0"/>
        <v>Masaje120minRelajantePONIENTE</v>
      </c>
      <c r="G77" s="1">
        <v>76000</v>
      </c>
      <c r="H77" s="1">
        <v>38319</v>
      </c>
    </row>
    <row r="78" spans="1:8" ht="14.25" customHeight="1">
      <c r="A78" s="3" t="s">
        <v>82</v>
      </c>
      <c r="B78" s="3" t="s">
        <v>119</v>
      </c>
      <c r="C78" s="3" t="s">
        <v>84</v>
      </c>
      <c r="D78" s="3" t="s">
        <v>100</v>
      </c>
      <c r="E78" s="3" t="s">
        <v>208</v>
      </c>
      <c r="F78" s="3" t="str">
        <f t="shared" si="0"/>
        <v>Masaje60minPrenatalPONIENTE</v>
      </c>
      <c r="G78" s="1">
        <v>45000</v>
      </c>
      <c r="H78" s="1">
        <v>22689</v>
      </c>
    </row>
    <row r="79" spans="1:8" ht="14.25" customHeight="1">
      <c r="A79" s="3" t="s">
        <v>82</v>
      </c>
      <c r="B79" s="3" t="s">
        <v>119</v>
      </c>
      <c r="C79" s="3" t="s">
        <v>146</v>
      </c>
      <c r="D79" s="3" t="s">
        <v>100</v>
      </c>
      <c r="E79" s="3" t="s">
        <v>208</v>
      </c>
      <c r="F79" s="3" t="str">
        <f t="shared" si="0"/>
        <v>Masaje90minPrenatalPONIENTE</v>
      </c>
      <c r="G79" s="1">
        <v>63000</v>
      </c>
      <c r="H79" s="1">
        <v>31765</v>
      </c>
    </row>
    <row r="80" spans="1:8" ht="14.25" customHeight="1">
      <c r="A80" s="3" t="s">
        <v>82</v>
      </c>
      <c r="B80" s="3" t="s">
        <v>119</v>
      </c>
      <c r="C80" s="3" t="s">
        <v>120</v>
      </c>
      <c r="D80" s="3" t="s">
        <v>100</v>
      </c>
      <c r="E80" s="3" t="s">
        <v>208</v>
      </c>
      <c r="F80" s="3" t="str">
        <f t="shared" si="0"/>
        <v>Masaje120minPrenatalPONIENTE</v>
      </c>
      <c r="G80" s="1">
        <v>76000</v>
      </c>
      <c r="H80" s="1">
        <v>38319</v>
      </c>
    </row>
    <row r="81" spans="1:8" ht="14.25" customHeight="1">
      <c r="A81" s="3" t="s">
        <v>82</v>
      </c>
      <c r="B81" s="3" t="s">
        <v>119</v>
      </c>
      <c r="C81" s="3" t="s">
        <v>84</v>
      </c>
      <c r="D81" s="3" t="s">
        <v>123</v>
      </c>
      <c r="E81" s="3" t="s">
        <v>208</v>
      </c>
      <c r="F81" s="3" t="str">
        <f t="shared" si="0"/>
        <v>Masaje60minTejido profundoPONIENTE</v>
      </c>
      <c r="G81" s="1">
        <v>45000</v>
      </c>
      <c r="H81" s="1">
        <v>22689.0756302521</v>
      </c>
    </row>
    <row r="82" spans="1:8" ht="14.25" customHeight="1">
      <c r="A82" s="3" t="s">
        <v>82</v>
      </c>
      <c r="B82" s="3" t="s">
        <v>119</v>
      </c>
      <c r="C82" s="3" t="s">
        <v>146</v>
      </c>
      <c r="D82" s="3" t="s">
        <v>123</v>
      </c>
      <c r="E82" s="3" t="s">
        <v>208</v>
      </c>
      <c r="F82" s="3" t="str">
        <f t="shared" si="0"/>
        <v>Masaje90minTejido profundoPONIENTE</v>
      </c>
      <c r="G82" s="1">
        <v>63000</v>
      </c>
      <c r="H82" s="1">
        <v>31765</v>
      </c>
    </row>
    <row r="83" spans="1:8" ht="14.25" customHeight="1">
      <c r="A83" s="3" t="s">
        <v>82</v>
      </c>
      <c r="B83" s="3" t="s">
        <v>119</v>
      </c>
      <c r="C83" s="3" t="s">
        <v>120</v>
      </c>
      <c r="D83" s="3" t="s">
        <v>123</v>
      </c>
      <c r="E83" s="3" t="s">
        <v>208</v>
      </c>
      <c r="F83" s="3" t="str">
        <f t="shared" si="0"/>
        <v>Masaje120minTejido profundoPONIENTE</v>
      </c>
      <c r="G83" s="1">
        <v>76000</v>
      </c>
      <c r="H83" s="1">
        <v>38319.327731092439</v>
      </c>
    </row>
    <row r="84" spans="1:8" ht="14.25" customHeight="1">
      <c r="A84" s="3" t="s">
        <v>82</v>
      </c>
      <c r="B84" s="3" t="s">
        <v>119</v>
      </c>
      <c r="C84" s="3" t="s">
        <v>84</v>
      </c>
      <c r="D84" s="3" t="s">
        <v>150</v>
      </c>
      <c r="E84" s="3" t="s">
        <v>208</v>
      </c>
      <c r="F84" s="3" t="str">
        <f t="shared" si="0"/>
        <v>Masaje60minDeportivoPONIENTE</v>
      </c>
      <c r="G84" s="1">
        <v>45000</v>
      </c>
      <c r="H84" s="1">
        <v>22689.0756302521</v>
      </c>
    </row>
    <row r="85" spans="1:8" ht="14.25" customHeight="1">
      <c r="A85" s="3" t="s">
        <v>82</v>
      </c>
      <c r="B85" s="3" t="s">
        <v>119</v>
      </c>
      <c r="C85" s="3" t="s">
        <v>146</v>
      </c>
      <c r="D85" s="3" t="s">
        <v>150</v>
      </c>
      <c r="E85" s="3" t="s">
        <v>208</v>
      </c>
      <c r="F85" s="3" t="str">
        <f t="shared" si="0"/>
        <v>Masaje90minDeportivoPONIENTE</v>
      </c>
      <c r="G85" s="1">
        <v>63000</v>
      </c>
      <c r="H85" s="1">
        <v>31765</v>
      </c>
    </row>
    <row r="86" spans="1:8" ht="14.25" customHeight="1">
      <c r="A86" s="3" t="s">
        <v>82</v>
      </c>
      <c r="B86" s="3" t="s">
        <v>119</v>
      </c>
      <c r="C86" s="3" t="s">
        <v>120</v>
      </c>
      <c r="D86" s="3" t="s">
        <v>150</v>
      </c>
      <c r="E86" s="3" t="s">
        <v>208</v>
      </c>
      <c r="F86" s="3" t="str">
        <f t="shared" si="0"/>
        <v>Masaje120minDeportivoPONIENTE</v>
      </c>
      <c r="G86" s="1">
        <v>76000</v>
      </c>
      <c r="H86" s="1">
        <v>38319.327731092439</v>
      </c>
    </row>
    <row r="87" spans="1:8" ht="14.25" customHeight="1">
      <c r="A87" s="3" t="s">
        <v>137</v>
      </c>
      <c r="B87" s="3" t="s">
        <v>83</v>
      </c>
      <c r="C87" s="3" t="s">
        <v>84</v>
      </c>
      <c r="D87" s="3" t="s">
        <v>138</v>
      </c>
      <c r="E87" s="3" t="s">
        <v>208</v>
      </c>
      <c r="F87" s="3" t="str">
        <f t="shared" si="0"/>
        <v>Facial60minHidratación ProfundaPONIENTE</v>
      </c>
      <c r="G87" s="1">
        <v>60000</v>
      </c>
      <c r="H87" s="1">
        <v>30252</v>
      </c>
    </row>
    <row r="88" spans="1:8" ht="14.25" customHeight="1">
      <c r="A88" s="3" t="s">
        <v>137</v>
      </c>
      <c r="B88" s="3" t="s">
        <v>83</v>
      </c>
      <c r="C88" s="3" t="s">
        <v>84</v>
      </c>
      <c r="D88" s="3" t="s">
        <v>200</v>
      </c>
      <c r="E88" s="3" t="s">
        <v>208</v>
      </c>
      <c r="F88" s="3" t="str">
        <f t="shared" si="0"/>
        <v>Facial60minLimpieza ProfundaPONIENTE</v>
      </c>
      <c r="G88" s="1">
        <v>60000</v>
      </c>
      <c r="H88" s="1">
        <v>30252</v>
      </c>
    </row>
    <row r="89" spans="1:8" ht="14.25" customHeight="1">
      <c r="A89" s="3" t="s">
        <v>137</v>
      </c>
      <c r="B89" s="3" t="s">
        <v>83</v>
      </c>
      <c r="C89" s="3" t="s">
        <v>84</v>
      </c>
      <c r="D89" s="3" t="s">
        <v>201</v>
      </c>
      <c r="E89" s="3" t="s">
        <v>208</v>
      </c>
      <c r="F89" s="3" t="str">
        <f t="shared" si="0"/>
        <v>Facial60minTeen GermainePONIENTE</v>
      </c>
      <c r="G89" s="1">
        <v>60000</v>
      </c>
      <c r="H89" s="1">
        <v>30252</v>
      </c>
    </row>
    <row r="90" spans="1:8" ht="14.25" customHeight="1">
      <c r="A90" s="3" t="s">
        <v>137</v>
      </c>
      <c r="B90" s="3" t="s">
        <v>83</v>
      </c>
      <c r="C90" s="3" t="s">
        <v>84</v>
      </c>
      <c r="D90" s="3" t="s">
        <v>202</v>
      </c>
      <c r="E90" s="3" t="s">
        <v>208</v>
      </c>
      <c r="F90" s="3" t="str">
        <f t="shared" si="0"/>
        <v>Facial60minThe ultimate grooming facial FOR HIMPONIENTE</v>
      </c>
      <c r="G90" s="1">
        <v>60000</v>
      </c>
      <c r="H90" s="1">
        <v>30252</v>
      </c>
    </row>
    <row r="91" spans="1:8" ht="14.25" customHeight="1">
      <c r="A91" s="3" t="s">
        <v>163</v>
      </c>
      <c r="B91" s="3" t="s">
        <v>83</v>
      </c>
      <c r="C91" s="3" t="s">
        <v>84</v>
      </c>
      <c r="D91" s="3" t="s">
        <v>203</v>
      </c>
      <c r="E91" s="3" t="s">
        <v>208</v>
      </c>
      <c r="F91" s="3" t="str">
        <f t="shared" si="0"/>
        <v>Facial + Masaje60minHidratación Profunda + RelajantePONIENTE</v>
      </c>
      <c r="G91" s="1">
        <v>95000</v>
      </c>
      <c r="H91" s="1">
        <v>47889</v>
      </c>
    </row>
    <row r="92" spans="1:8" ht="14.25" customHeight="1">
      <c r="A92" s="3" t="s">
        <v>163</v>
      </c>
      <c r="B92" s="3" t="s">
        <v>83</v>
      </c>
      <c r="C92" s="3" t="s">
        <v>84</v>
      </c>
      <c r="D92" s="3" t="s">
        <v>204</v>
      </c>
      <c r="E92" s="3" t="s">
        <v>208</v>
      </c>
      <c r="F92" s="3" t="str">
        <f t="shared" si="0"/>
        <v>Facial + Masaje60minHidratación Profunda + PrenatalPONIENTE</v>
      </c>
      <c r="G92" s="1">
        <v>95000</v>
      </c>
      <c r="H92" s="1">
        <v>47889</v>
      </c>
    </row>
    <row r="93" spans="1:8" ht="14.25" customHeight="1">
      <c r="A93" s="3" t="s">
        <v>163</v>
      </c>
      <c r="B93" s="3" t="s">
        <v>83</v>
      </c>
      <c r="C93" s="3" t="s">
        <v>84</v>
      </c>
      <c r="D93" s="3" t="s">
        <v>205</v>
      </c>
      <c r="E93" s="3" t="s">
        <v>208</v>
      </c>
      <c r="F93" s="3" t="str">
        <f t="shared" si="0"/>
        <v>Facial + Masaje60minHidratación Profunda + Tejido profundoPONIENTE</v>
      </c>
      <c r="G93" s="1">
        <v>95000</v>
      </c>
      <c r="H93" s="1">
        <v>47889</v>
      </c>
    </row>
    <row r="94" spans="1:8" ht="14.25" customHeight="1">
      <c r="A94" s="3" t="s">
        <v>163</v>
      </c>
      <c r="B94" s="3" t="s">
        <v>83</v>
      </c>
      <c r="C94" s="3" t="s">
        <v>84</v>
      </c>
      <c r="D94" s="3" t="s">
        <v>206</v>
      </c>
      <c r="E94" s="3" t="s">
        <v>208</v>
      </c>
      <c r="F94" s="3" t="str">
        <f t="shared" si="0"/>
        <v>Facial + Masaje60minHidratación Profunda + DeportivoPONIENTE</v>
      </c>
      <c r="G94" s="1">
        <v>95000</v>
      </c>
      <c r="H94" s="1">
        <v>47889</v>
      </c>
    </row>
    <row r="95" spans="1:8" ht="14.25" customHeight="1">
      <c r="A95" s="3" t="s">
        <v>163</v>
      </c>
      <c r="B95" s="3" t="s">
        <v>83</v>
      </c>
      <c r="C95" s="3" t="s">
        <v>146</v>
      </c>
      <c r="D95" s="3" t="s">
        <v>222</v>
      </c>
      <c r="E95" s="3" t="s">
        <v>208</v>
      </c>
      <c r="F95" s="3" t="str">
        <f t="shared" si="0"/>
        <v>Facial + Masaje90minHidratación Profunda + Relajante 90 MINPONIENTE</v>
      </c>
      <c r="G95" s="1">
        <v>115000</v>
      </c>
      <c r="H95" s="1">
        <v>57983</v>
      </c>
    </row>
    <row r="96" spans="1:8" ht="14.25" customHeight="1">
      <c r="A96" s="3" t="s">
        <v>163</v>
      </c>
      <c r="B96" s="3" t="s">
        <v>83</v>
      </c>
      <c r="C96" s="3" t="s">
        <v>146</v>
      </c>
      <c r="D96" s="3" t="s">
        <v>223</v>
      </c>
      <c r="E96" s="3" t="s">
        <v>208</v>
      </c>
      <c r="F96" s="3" t="str">
        <f t="shared" si="0"/>
        <v>Facial + Masaje90minHidratación Profunda + Prenatal 90 MINPONIENTE</v>
      </c>
      <c r="G96" s="1">
        <v>115000</v>
      </c>
      <c r="H96" s="1">
        <v>57983</v>
      </c>
    </row>
    <row r="97" spans="1:8" ht="14.25" customHeight="1">
      <c r="A97" s="3" t="s">
        <v>163</v>
      </c>
      <c r="B97" s="3" t="s">
        <v>83</v>
      </c>
      <c r="C97" s="3" t="s">
        <v>146</v>
      </c>
      <c r="D97" s="3" t="s">
        <v>224</v>
      </c>
      <c r="E97" s="3" t="s">
        <v>208</v>
      </c>
      <c r="F97" s="3" t="str">
        <f t="shared" si="0"/>
        <v>Facial + Masaje90minHidratación Profunda + Tejido profundo 90 MINPONIENTE</v>
      </c>
      <c r="G97" s="1">
        <v>115000</v>
      </c>
      <c r="H97" s="1">
        <v>57983</v>
      </c>
    </row>
    <row r="98" spans="1:8" ht="14.25" customHeight="1">
      <c r="A98" s="3" t="s">
        <v>163</v>
      </c>
      <c r="B98" s="3" t="s">
        <v>83</v>
      </c>
      <c r="C98" s="3" t="s">
        <v>146</v>
      </c>
      <c r="D98" s="3" t="s">
        <v>225</v>
      </c>
      <c r="E98" s="3" t="s">
        <v>208</v>
      </c>
      <c r="F98" s="3" t="str">
        <f t="shared" si="0"/>
        <v>Facial + Masaje90minHidratación Profunda + Deportivo 90 MINPONIENTE</v>
      </c>
      <c r="G98" s="1">
        <v>115000</v>
      </c>
      <c r="H98" s="1">
        <v>57983</v>
      </c>
    </row>
    <row r="99" spans="1:8" ht="14.25" customHeight="1">
      <c r="A99" s="3" t="s">
        <v>163</v>
      </c>
      <c r="B99" s="3" t="s">
        <v>83</v>
      </c>
      <c r="C99" s="3" t="s">
        <v>146</v>
      </c>
      <c r="D99" s="3" t="s">
        <v>226</v>
      </c>
      <c r="E99" s="3" t="s">
        <v>208</v>
      </c>
      <c r="F99" s="3" t="str">
        <f t="shared" si="0"/>
        <v>Facial + Masaje90minLimpieza profunda + Deportivo 90 minPONIENTE</v>
      </c>
      <c r="G99" s="1">
        <v>115000</v>
      </c>
      <c r="H99" s="1">
        <v>57983</v>
      </c>
    </row>
    <row r="100" spans="1:8" ht="14.25" customHeight="1">
      <c r="A100" s="3" t="s">
        <v>163</v>
      </c>
      <c r="B100" s="3" t="s">
        <v>83</v>
      </c>
      <c r="C100" s="3" t="s">
        <v>146</v>
      </c>
      <c r="D100" s="3" t="s">
        <v>226</v>
      </c>
      <c r="E100" s="3" t="s">
        <v>209</v>
      </c>
      <c r="F100" s="3" t="str">
        <f t="shared" si="0"/>
        <v>Facial + Masaje90minLimpieza profunda + Deportivo 90 minNORTE</v>
      </c>
      <c r="G100" s="1">
        <v>115000</v>
      </c>
      <c r="H100" s="1">
        <v>57983</v>
      </c>
    </row>
    <row r="101" spans="1:8" ht="14.25" customHeight="1">
      <c r="A101" s="3" t="s">
        <v>163</v>
      </c>
      <c r="B101" s="3" t="s">
        <v>83</v>
      </c>
      <c r="C101" s="3" t="s">
        <v>146</v>
      </c>
      <c r="D101" s="3" t="s">
        <v>226</v>
      </c>
      <c r="E101" s="3" t="s">
        <v>210</v>
      </c>
      <c r="F101" s="3" t="str">
        <f t="shared" si="0"/>
        <v>Facial + Masaje90minLimpieza profunda + Deportivo 90 minSUR</v>
      </c>
      <c r="G101" s="1">
        <v>115000</v>
      </c>
      <c r="H101" s="1">
        <v>57983</v>
      </c>
    </row>
    <row r="102" spans="1:8" ht="14.25" customHeight="1">
      <c r="A102" s="3" t="s">
        <v>163</v>
      </c>
      <c r="B102" s="3" t="s">
        <v>83</v>
      </c>
      <c r="C102" s="3" t="s">
        <v>146</v>
      </c>
      <c r="D102" s="3" t="s">
        <v>226</v>
      </c>
      <c r="E102" s="3" t="s">
        <v>211</v>
      </c>
      <c r="F102" s="3" t="str">
        <f t="shared" si="0"/>
        <v>Facial + Masaje90minLimpieza profunda + Deportivo 90 minZONA COSTA</v>
      </c>
      <c r="G102" s="1">
        <v>115000</v>
      </c>
      <c r="H102" s="1">
        <v>57983</v>
      </c>
    </row>
    <row r="103" spans="1:8" ht="14.25" customHeight="1">
      <c r="A103" s="3" t="s">
        <v>163</v>
      </c>
      <c r="B103" s="3" t="s">
        <v>83</v>
      </c>
      <c r="C103" s="3" t="s">
        <v>146</v>
      </c>
      <c r="D103" s="3" t="s">
        <v>226</v>
      </c>
      <c r="E103" s="3" t="s">
        <v>108</v>
      </c>
      <c r="F103" s="3" t="str">
        <f t="shared" si="0"/>
        <v>Facial + Masaje90minLimpieza profunda + Deportivo 90 minLO BARNECHEA</v>
      </c>
      <c r="G103" s="1">
        <v>115000</v>
      </c>
      <c r="H103" s="1">
        <v>57983</v>
      </c>
    </row>
    <row r="104" spans="1:8" ht="14.25" customHeight="1">
      <c r="A104" s="3" t="s">
        <v>163</v>
      </c>
      <c r="B104" s="3" t="s">
        <v>83</v>
      </c>
      <c r="C104" s="3" t="s">
        <v>146</v>
      </c>
      <c r="D104" s="3" t="s">
        <v>212</v>
      </c>
      <c r="E104" s="3" t="s">
        <v>101</v>
      </c>
      <c r="F104" s="3" t="str">
        <f t="shared" si="0"/>
        <v>Facial + Masaje90minLimpieza profunda + DeportivoCOLINA</v>
      </c>
      <c r="G104" s="1">
        <v>115000</v>
      </c>
      <c r="H104" s="1">
        <v>57983</v>
      </c>
    </row>
    <row r="105" spans="1:8" ht="14.25" customHeight="1">
      <c r="A105" s="3" t="s">
        <v>163</v>
      </c>
      <c r="B105" s="3" t="s">
        <v>83</v>
      </c>
      <c r="C105" s="3" t="s">
        <v>84</v>
      </c>
      <c r="D105" s="3" t="s">
        <v>227</v>
      </c>
      <c r="E105" s="3" t="s">
        <v>199</v>
      </c>
      <c r="F105" s="3" t="str">
        <f t="shared" si="0"/>
        <v>Facial + Masaje60minLimpieza profunda + Drenaje LinfáticoORIENTE</v>
      </c>
      <c r="G105" s="1">
        <v>95000</v>
      </c>
      <c r="H105" s="1">
        <v>47889</v>
      </c>
    </row>
    <row r="106" spans="1:8" ht="14.25" customHeight="1">
      <c r="A106" s="3" t="s">
        <v>163</v>
      </c>
      <c r="B106" s="3" t="s">
        <v>83</v>
      </c>
      <c r="C106" s="3" t="s">
        <v>84</v>
      </c>
      <c r="D106" s="3" t="s">
        <v>228</v>
      </c>
      <c r="E106" s="3" t="s">
        <v>208</v>
      </c>
      <c r="F106" s="3" t="str">
        <f t="shared" si="0"/>
        <v>Facial + Masaje60minLimpieza Profunda + Drenaje LinfáticoPONIENTE</v>
      </c>
      <c r="G106" s="1">
        <v>95000</v>
      </c>
      <c r="H106" s="1">
        <v>47889</v>
      </c>
    </row>
    <row r="107" spans="1:8" ht="14.25" customHeight="1">
      <c r="A107" s="3" t="s">
        <v>163</v>
      </c>
      <c r="B107" s="3" t="s">
        <v>83</v>
      </c>
      <c r="C107" s="3" t="s">
        <v>84</v>
      </c>
      <c r="D107" s="3" t="s">
        <v>229</v>
      </c>
      <c r="E107" s="3" t="s">
        <v>208</v>
      </c>
      <c r="F107" s="3" t="str">
        <f t="shared" si="0"/>
        <v>Facial + Masaje60minTeen Germaine + Relajante 60 MINPONIENTE</v>
      </c>
      <c r="G107" s="1">
        <v>95000</v>
      </c>
      <c r="H107" s="1">
        <v>47889</v>
      </c>
    </row>
    <row r="108" spans="1:8" ht="14.25" customHeight="1">
      <c r="A108" s="3" t="s">
        <v>163</v>
      </c>
      <c r="B108" s="3" t="s">
        <v>83</v>
      </c>
      <c r="C108" s="3" t="s">
        <v>84</v>
      </c>
      <c r="D108" s="3" t="s">
        <v>230</v>
      </c>
      <c r="E108" s="3" t="s">
        <v>208</v>
      </c>
      <c r="F108" s="3" t="str">
        <f t="shared" si="0"/>
        <v>Facial + Masaje60minTeen Germaine + Prenatal 60 MINPONIENTE</v>
      </c>
      <c r="G108" s="1">
        <v>95000</v>
      </c>
      <c r="H108" s="1">
        <v>47889</v>
      </c>
    </row>
    <row r="109" spans="1:8" ht="14.25" customHeight="1">
      <c r="A109" s="3" t="s">
        <v>163</v>
      </c>
      <c r="B109" s="3" t="s">
        <v>83</v>
      </c>
      <c r="C109" s="3" t="s">
        <v>84</v>
      </c>
      <c r="D109" s="3" t="s">
        <v>231</v>
      </c>
      <c r="E109" s="3" t="s">
        <v>208</v>
      </c>
      <c r="F109" s="3" t="str">
        <f t="shared" si="0"/>
        <v>Facial + Masaje60minTeen Germaine + Tejido profundo 60 MINPONIENTE</v>
      </c>
      <c r="G109" s="1">
        <v>95000</v>
      </c>
      <c r="H109" s="1">
        <v>47889</v>
      </c>
    </row>
    <row r="110" spans="1:8" ht="14.25" customHeight="1">
      <c r="A110" s="3" t="s">
        <v>163</v>
      </c>
      <c r="B110" s="3" t="s">
        <v>83</v>
      </c>
      <c r="C110" s="3" t="s">
        <v>84</v>
      </c>
      <c r="D110" s="3" t="s">
        <v>232</v>
      </c>
      <c r="E110" s="3" t="s">
        <v>208</v>
      </c>
      <c r="F110" s="3" t="str">
        <f t="shared" si="0"/>
        <v>Facial + Masaje60minTeen Germaine + Deportivo 60 MINPONIENTE</v>
      </c>
      <c r="G110" s="1">
        <v>95000</v>
      </c>
      <c r="H110" s="1">
        <v>47889</v>
      </c>
    </row>
    <row r="111" spans="1:8" ht="14.25" customHeight="1">
      <c r="A111" s="3" t="s">
        <v>163</v>
      </c>
      <c r="B111" s="3" t="s">
        <v>83</v>
      </c>
      <c r="C111" s="3" t="s">
        <v>146</v>
      </c>
      <c r="D111" s="3" t="s">
        <v>233</v>
      </c>
      <c r="E111" s="3" t="s">
        <v>208</v>
      </c>
      <c r="F111" s="3" t="str">
        <f t="shared" si="0"/>
        <v>Facial + Masaje90minTeen Germaine + Relajante 90 MINPONIENTE</v>
      </c>
      <c r="G111" s="1">
        <v>115000</v>
      </c>
      <c r="H111" s="1">
        <v>57983</v>
      </c>
    </row>
    <row r="112" spans="1:8" ht="14.25" customHeight="1">
      <c r="A112" s="3" t="s">
        <v>163</v>
      </c>
      <c r="B112" s="3" t="s">
        <v>83</v>
      </c>
      <c r="C112" s="3" t="s">
        <v>146</v>
      </c>
      <c r="D112" s="3" t="s">
        <v>234</v>
      </c>
      <c r="E112" s="3" t="s">
        <v>208</v>
      </c>
      <c r="F112" s="3" t="str">
        <f t="shared" si="0"/>
        <v>Facial + Masaje90minTeen Germaine + Prenatal 90 MINPONIENTE</v>
      </c>
      <c r="G112" s="1">
        <v>115000</v>
      </c>
      <c r="H112" s="1">
        <v>57983</v>
      </c>
    </row>
    <row r="113" spans="1:8" ht="14.25" customHeight="1">
      <c r="A113" s="3" t="s">
        <v>163</v>
      </c>
      <c r="B113" s="3" t="s">
        <v>83</v>
      </c>
      <c r="C113" s="3" t="s">
        <v>146</v>
      </c>
      <c r="D113" s="3" t="s">
        <v>235</v>
      </c>
      <c r="E113" s="3" t="s">
        <v>208</v>
      </c>
      <c r="F113" s="3" t="str">
        <f t="shared" si="0"/>
        <v>Facial + Masaje90minTeen Germaine + Tejido profundo 90 MINPONIENTE</v>
      </c>
      <c r="G113" s="1">
        <v>115000</v>
      </c>
      <c r="H113" s="1">
        <v>57983</v>
      </c>
    </row>
    <row r="114" spans="1:8" ht="14.25" customHeight="1">
      <c r="A114" s="3" t="s">
        <v>163</v>
      </c>
      <c r="B114" s="3" t="s">
        <v>83</v>
      </c>
      <c r="C114" s="3" t="s">
        <v>146</v>
      </c>
      <c r="D114" s="3" t="s">
        <v>236</v>
      </c>
      <c r="E114" s="3" t="s">
        <v>208</v>
      </c>
      <c r="F114" s="3" t="str">
        <f t="shared" si="0"/>
        <v>Facial + Masaje90minTeen Germaine + Deportivo 90 MINPONIENTE</v>
      </c>
      <c r="G114" s="1">
        <v>115000</v>
      </c>
      <c r="H114" s="1">
        <v>57983</v>
      </c>
    </row>
    <row r="115" spans="1:8" ht="14.25" customHeight="1">
      <c r="A115" s="3" t="s">
        <v>163</v>
      </c>
      <c r="B115" s="3" t="s">
        <v>83</v>
      </c>
      <c r="C115" s="3" t="s">
        <v>84</v>
      </c>
      <c r="D115" s="3" t="s">
        <v>217</v>
      </c>
      <c r="E115" s="3" t="s">
        <v>208</v>
      </c>
      <c r="F115" s="3" t="str">
        <f t="shared" si="0"/>
        <v>Facial + Masaje60minFacial para él + RelajantePONIENTE</v>
      </c>
      <c r="G115" s="1">
        <v>95000</v>
      </c>
      <c r="H115" s="1">
        <v>47889</v>
      </c>
    </row>
    <row r="116" spans="1:8" ht="14.25" customHeight="1">
      <c r="A116" s="3" t="s">
        <v>163</v>
      </c>
      <c r="B116" s="3" t="s">
        <v>83</v>
      </c>
      <c r="C116" s="3" t="s">
        <v>84</v>
      </c>
      <c r="D116" s="3" t="s">
        <v>218</v>
      </c>
      <c r="E116" s="3" t="s">
        <v>208</v>
      </c>
      <c r="F116" s="3" t="str">
        <f t="shared" si="0"/>
        <v>Facial + Masaje60minFacial para él  + PrenatalPONIENTE</v>
      </c>
      <c r="G116" s="1">
        <v>95000</v>
      </c>
      <c r="H116" s="1">
        <v>47889</v>
      </c>
    </row>
    <row r="117" spans="1:8" ht="14.25" customHeight="1">
      <c r="A117" s="3" t="s">
        <v>163</v>
      </c>
      <c r="B117" s="3" t="s">
        <v>83</v>
      </c>
      <c r="C117" s="3" t="s">
        <v>84</v>
      </c>
      <c r="D117" s="3" t="s">
        <v>219</v>
      </c>
      <c r="E117" s="3" t="s">
        <v>208</v>
      </c>
      <c r="F117" s="3" t="str">
        <f t="shared" si="0"/>
        <v>Facial + Masaje60minFacial para él + Tejido profundoPONIENTE</v>
      </c>
      <c r="G117" s="1">
        <v>95000</v>
      </c>
      <c r="H117" s="1">
        <v>47889</v>
      </c>
    </row>
    <row r="118" spans="1:8" ht="14.25" customHeight="1">
      <c r="A118" s="3" t="s">
        <v>163</v>
      </c>
      <c r="B118" s="3" t="s">
        <v>83</v>
      </c>
      <c r="C118" s="3" t="s">
        <v>84</v>
      </c>
      <c r="D118" s="3" t="s">
        <v>220</v>
      </c>
      <c r="E118" s="3" t="s">
        <v>208</v>
      </c>
      <c r="F118" s="3" t="str">
        <f t="shared" si="0"/>
        <v>Facial + Masaje60minFacial para él  + DeportivoPONIENTE</v>
      </c>
      <c r="G118" s="1">
        <v>95000</v>
      </c>
      <c r="H118" s="1">
        <v>47889</v>
      </c>
    </row>
    <row r="119" spans="1:8" ht="14.25" customHeight="1">
      <c r="A119" s="3" t="s">
        <v>163</v>
      </c>
      <c r="B119" s="3" t="s">
        <v>83</v>
      </c>
      <c r="C119" s="3" t="s">
        <v>146</v>
      </c>
      <c r="D119" s="3" t="s">
        <v>237</v>
      </c>
      <c r="E119" s="3" t="s">
        <v>208</v>
      </c>
      <c r="F119" s="3" t="str">
        <f t="shared" si="0"/>
        <v>Facial + Masaje90minFacial para él  + Relajante 90 MINPONIENTE</v>
      </c>
      <c r="G119" s="1">
        <v>115000</v>
      </c>
      <c r="H119" s="1">
        <v>57983</v>
      </c>
    </row>
    <row r="120" spans="1:8" ht="14.25" customHeight="1">
      <c r="A120" s="3" t="s">
        <v>163</v>
      </c>
      <c r="B120" s="3" t="s">
        <v>83</v>
      </c>
      <c r="C120" s="3" t="s">
        <v>146</v>
      </c>
      <c r="D120" s="3" t="s">
        <v>238</v>
      </c>
      <c r="E120" s="3" t="s">
        <v>208</v>
      </c>
      <c r="F120" s="3" t="str">
        <f t="shared" si="0"/>
        <v>Facial + Masaje90minFacial para él  + Prenatal 90 MINPONIENTE</v>
      </c>
      <c r="G120" s="1">
        <v>115000</v>
      </c>
      <c r="H120" s="1">
        <v>57983</v>
      </c>
    </row>
    <row r="121" spans="1:8" ht="14.25" customHeight="1">
      <c r="A121" s="3" t="s">
        <v>163</v>
      </c>
      <c r="B121" s="3" t="s">
        <v>83</v>
      </c>
      <c r="C121" s="3" t="s">
        <v>146</v>
      </c>
      <c r="D121" s="3" t="s">
        <v>239</v>
      </c>
      <c r="E121" s="3" t="s">
        <v>208</v>
      </c>
      <c r="F121" s="3" t="str">
        <f t="shared" si="0"/>
        <v>Facial + Masaje90minFacial para él  + Tejido profundo 90 MINPONIENTE</v>
      </c>
      <c r="G121" s="1">
        <v>115000</v>
      </c>
      <c r="H121" s="1">
        <v>57983</v>
      </c>
    </row>
    <row r="122" spans="1:8" ht="14.25" customHeight="1">
      <c r="A122" s="3" t="s">
        <v>163</v>
      </c>
      <c r="B122" s="3" t="s">
        <v>83</v>
      </c>
      <c r="C122" s="3" t="s">
        <v>146</v>
      </c>
      <c r="D122" s="3" t="s">
        <v>240</v>
      </c>
      <c r="E122" s="3" t="s">
        <v>208</v>
      </c>
      <c r="F122" s="3" t="str">
        <f t="shared" si="0"/>
        <v>Facial + Masaje90minFacial para él  + Deportivo 90 MINPONIENTE</v>
      </c>
      <c r="G122" s="1">
        <v>115000</v>
      </c>
      <c r="H122" s="1">
        <v>57983</v>
      </c>
    </row>
    <row r="123" spans="1:8" ht="14.25" customHeight="1">
      <c r="A123" s="3" t="s">
        <v>82</v>
      </c>
      <c r="B123" s="3" t="s">
        <v>83</v>
      </c>
      <c r="C123" s="3" t="s">
        <v>84</v>
      </c>
      <c r="D123" s="3" t="s">
        <v>85</v>
      </c>
      <c r="E123" s="3" t="s">
        <v>209</v>
      </c>
      <c r="F123" s="3" t="str">
        <f t="shared" si="0"/>
        <v>Masaje60minRelajanteNORTE</v>
      </c>
      <c r="G123" s="1">
        <v>45000</v>
      </c>
      <c r="H123" s="1">
        <v>22689</v>
      </c>
    </row>
    <row r="124" spans="1:8" ht="14.25" customHeight="1">
      <c r="A124" s="3" t="s">
        <v>82</v>
      </c>
      <c r="B124" s="3" t="s">
        <v>83</v>
      </c>
      <c r="C124" s="3" t="s">
        <v>146</v>
      </c>
      <c r="D124" s="3" t="s">
        <v>85</v>
      </c>
      <c r="E124" s="3" t="s">
        <v>209</v>
      </c>
      <c r="F124" s="3" t="str">
        <f t="shared" si="0"/>
        <v>Masaje90minRelajanteNORTE</v>
      </c>
      <c r="G124" s="1">
        <v>63000</v>
      </c>
      <c r="H124" s="1">
        <v>31765</v>
      </c>
    </row>
    <row r="125" spans="1:8" ht="14.25" customHeight="1">
      <c r="A125" s="3" t="s">
        <v>82</v>
      </c>
      <c r="B125" s="3" t="s">
        <v>83</v>
      </c>
      <c r="C125" s="3" t="s">
        <v>120</v>
      </c>
      <c r="D125" s="3" t="s">
        <v>85</v>
      </c>
      <c r="E125" s="3" t="s">
        <v>209</v>
      </c>
      <c r="F125" s="3" t="str">
        <f t="shared" si="0"/>
        <v>Masaje120minRelajanteNORTE</v>
      </c>
      <c r="G125" s="1">
        <v>76000</v>
      </c>
      <c r="H125" s="1">
        <v>38319</v>
      </c>
    </row>
    <row r="126" spans="1:8" ht="14.25" customHeight="1">
      <c r="A126" s="3" t="s">
        <v>82</v>
      </c>
      <c r="B126" s="3" t="s">
        <v>83</v>
      </c>
      <c r="C126" s="3" t="s">
        <v>84</v>
      </c>
      <c r="D126" s="3" t="s">
        <v>100</v>
      </c>
      <c r="E126" s="3" t="s">
        <v>209</v>
      </c>
      <c r="F126" s="3" t="str">
        <f t="shared" si="0"/>
        <v>Masaje60minPrenatalNORTE</v>
      </c>
      <c r="G126" s="1">
        <v>45000</v>
      </c>
      <c r="H126" s="1">
        <v>22689</v>
      </c>
    </row>
    <row r="127" spans="1:8" ht="14.25" customHeight="1">
      <c r="A127" s="3" t="s">
        <v>82</v>
      </c>
      <c r="B127" s="3" t="s">
        <v>83</v>
      </c>
      <c r="C127" s="3" t="s">
        <v>146</v>
      </c>
      <c r="D127" s="3" t="s">
        <v>100</v>
      </c>
      <c r="E127" s="3" t="s">
        <v>209</v>
      </c>
      <c r="F127" s="3" t="str">
        <f t="shared" si="0"/>
        <v>Masaje90minPrenatalNORTE</v>
      </c>
      <c r="G127" s="1">
        <v>63000</v>
      </c>
      <c r="H127" s="1">
        <v>31765</v>
      </c>
    </row>
    <row r="128" spans="1:8" ht="14.25" customHeight="1">
      <c r="A128" s="3" t="s">
        <v>82</v>
      </c>
      <c r="B128" s="3" t="s">
        <v>83</v>
      </c>
      <c r="C128" s="3" t="s">
        <v>120</v>
      </c>
      <c r="D128" s="3" t="s">
        <v>100</v>
      </c>
      <c r="E128" s="3" t="s">
        <v>209</v>
      </c>
      <c r="F128" s="3" t="str">
        <f t="shared" si="0"/>
        <v>Masaje120minPrenatalNORTE</v>
      </c>
      <c r="G128" s="1">
        <v>76000</v>
      </c>
      <c r="H128" s="1">
        <v>38319</v>
      </c>
    </row>
    <row r="129" spans="1:8" ht="14.25" customHeight="1">
      <c r="A129" s="3" t="s">
        <v>82</v>
      </c>
      <c r="B129" s="3" t="s">
        <v>83</v>
      </c>
      <c r="C129" s="3" t="s">
        <v>84</v>
      </c>
      <c r="D129" s="3" t="s">
        <v>123</v>
      </c>
      <c r="E129" s="3" t="s">
        <v>209</v>
      </c>
      <c r="F129" s="3" t="str">
        <f t="shared" si="0"/>
        <v>Masaje60minTejido profundoNORTE</v>
      </c>
      <c r="G129" s="1">
        <v>45000</v>
      </c>
      <c r="H129" s="1">
        <v>22689.0756302521</v>
      </c>
    </row>
    <row r="130" spans="1:8" ht="14.25" customHeight="1">
      <c r="A130" s="3" t="s">
        <v>82</v>
      </c>
      <c r="B130" s="3" t="s">
        <v>83</v>
      </c>
      <c r="C130" s="3" t="s">
        <v>146</v>
      </c>
      <c r="D130" s="3" t="s">
        <v>123</v>
      </c>
      <c r="E130" s="3" t="s">
        <v>209</v>
      </c>
      <c r="F130" s="3" t="str">
        <f t="shared" si="0"/>
        <v>Masaje90minTejido profundoNORTE</v>
      </c>
      <c r="G130" s="1">
        <v>63000</v>
      </c>
      <c r="H130" s="1">
        <v>31765</v>
      </c>
    </row>
    <row r="131" spans="1:8" ht="14.25" customHeight="1">
      <c r="A131" s="3" t="s">
        <v>82</v>
      </c>
      <c r="B131" s="3" t="s">
        <v>83</v>
      </c>
      <c r="C131" s="3" t="s">
        <v>120</v>
      </c>
      <c r="D131" s="3" t="s">
        <v>123</v>
      </c>
      <c r="E131" s="3" t="s">
        <v>209</v>
      </c>
      <c r="F131" s="3" t="str">
        <f t="shared" si="0"/>
        <v>Masaje120minTejido profundoNORTE</v>
      </c>
      <c r="G131" s="1">
        <v>76000</v>
      </c>
      <c r="H131" s="1">
        <v>38319.327731092439</v>
      </c>
    </row>
    <row r="132" spans="1:8" ht="14.25" customHeight="1">
      <c r="A132" s="3" t="s">
        <v>82</v>
      </c>
      <c r="B132" s="3" t="s">
        <v>83</v>
      </c>
      <c r="C132" s="3" t="s">
        <v>84</v>
      </c>
      <c r="D132" s="3" t="s">
        <v>150</v>
      </c>
      <c r="E132" s="3" t="s">
        <v>209</v>
      </c>
      <c r="F132" s="3" t="str">
        <f t="shared" si="0"/>
        <v>Masaje60minDeportivoNORTE</v>
      </c>
      <c r="G132" s="1">
        <v>45000</v>
      </c>
      <c r="H132" s="1">
        <v>22689.0756302521</v>
      </c>
    </row>
    <row r="133" spans="1:8" ht="14.25" customHeight="1">
      <c r="A133" s="3" t="s">
        <v>82</v>
      </c>
      <c r="B133" s="3" t="s">
        <v>83</v>
      </c>
      <c r="C133" s="3" t="s">
        <v>146</v>
      </c>
      <c r="D133" s="3" t="s">
        <v>150</v>
      </c>
      <c r="E133" s="3" t="s">
        <v>209</v>
      </c>
      <c r="F133" s="3" t="str">
        <f t="shared" si="0"/>
        <v>Masaje90minDeportivoNORTE</v>
      </c>
      <c r="G133" s="1">
        <v>63000</v>
      </c>
      <c r="H133" s="1">
        <v>31765</v>
      </c>
    </row>
    <row r="134" spans="1:8" ht="14.25" customHeight="1">
      <c r="A134" s="3" t="s">
        <v>82</v>
      </c>
      <c r="B134" s="3" t="s">
        <v>83</v>
      </c>
      <c r="C134" s="3" t="s">
        <v>120</v>
      </c>
      <c r="D134" s="3" t="s">
        <v>150</v>
      </c>
      <c r="E134" s="3" t="s">
        <v>209</v>
      </c>
      <c r="F134" s="3" t="str">
        <f t="shared" si="0"/>
        <v>Masaje120minDeportivoNORTE</v>
      </c>
      <c r="G134" s="1">
        <v>76000</v>
      </c>
      <c r="H134" s="1">
        <v>38319.327731092439</v>
      </c>
    </row>
    <row r="135" spans="1:8" ht="14.25" customHeight="1">
      <c r="A135" s="3" t="s">
        <v>82</v>
      </c>
      <c r="B135" s="3" t="s">
        <v>119</v>
      </c>
      <c r="C135" s="3" t="s">
        <v>84</v>
      </c>
      <c r="D135" s="3" t="s">
        <v>85</v>
      </c>
      <c r="E135" s="3" t="s">
        <v>209</v>
      </c>
      <c r="F135" s="3" t="str">
        <f t="shared" si="0"/>
        <v>Masaje60minRelajanteNORTE</v>
      </c>
      <c r="G135" s="1">
        <v>45000</v>
      </c>
      <c r="H135" s="1">
        <v>22689</v>
      </c>
    </row>
    <row r="136" spans="1:8" ht="14.25" customHeight="1">
      <c r="A136" s="3" t="s">
        <v>82</v>
      </c>
      <c r="B136" s="3" t="s">
        <v>119</v>
      </c>
      <c r="C136" s="3" t="s">
        <v>146</v>
      </c>
      <c r="D136" s="3" t="s">
        <v>85</v>
      </c>
      <c r="E136" s="3" t="s">
        <v>209</v>
      </c>
      <c r="F136" s="3" t="str">
        <f t="shared" si="0"/>
        <v>Masaje90minRelajanteNORTE</v>
      </c>
      <c r="G136" s="1">
        <v>63000</v>
      </c>
      <c r="H136" s="1">
        <v>31765</v>
      </c>
    </row>
    <row r="137" spans="1:8" ht="14.25" customHeight="1">
      <c r="A137" s="3" t="s">
        <v>82</v>
      </c>
      <c r="B137" s="3" t="s">
        <v>119</v>
      </c>
      <c r="C137" s="3" t="s">
        <v>120</v>
      </c>
      <c r="D137" s="3" t="s">
        <v>85</v>
      </c>
      <c r="E137" s="3" t="s">
        <v>209</v>
      </c>
      <c r="F137" s="3" t="str">
        <f t="shared" si="0"/>
        <v>Masaje120minRelajanteNORTE</v>
      </c>
      <c r="G137" s="1">
        <v>76000</v>
      </c>
      <c r="H137" s="1">
        <v>38319</v>
      </c>
    </row>
    <row r="138" spans="1:8" ht="14.25" customHeight="1">
      <c r="A138" s="3" t="s">
        <v>82</v>
      </c>
      <c r="B138" s="3" t="s">
        <v>119</v>
      </c>
      <c r="C138" s="3" t="s">
        <v>84</v>
      </c>
      <c r="D138" s="3" t="s">
        <v>100</v>
      </c>
      <c r="E138" s="3" t="s">
        <v>209</v>
      </c>
      <c r="F138" s="3" t="str">
        <f t="shared" si="0"/>
        <v>Masaje60minPrenatalNORTE</v>
      </c>
      <c r="G138" s="1">
        <v>45000</v>
      </c>
      <c r="H138" s="1">
        <v>22689</v>
      </c>
    </row>
    <row r="139" spans="1:8" ht="14.25" customHeight="1">
      <c r="A139" s="3" t="s">
        <v>82</v>
      </c>
      <c r="B139" s="3" t="s">
        <v>119</v>
      </c>
      <c r="C139" s="3" t="s">
        <v>146</v>
      </c>
      <c r="D139" s="3" t="s">
        <v>100</v>
      </c>
      <c r="E139" s="3" t="s">
        <v>209</v>
      </c>
      <c r="F139" s="3" t="str">
        <f t="shared" si="0"/>
        <v>Masaje90minPrenatalNORTE</v>
      </c>
      <c r="G139" s="1">
        <v>63000</v>
      </c>
      <c r="H139" s="1">
        <v>31765</v>
      </c>
    </row>
    <row r="140" spans="1:8" ht="14.25" customHeight="1">
      <c r="A140" s="3" t="s">
        <v>82</v>
      </c>
      <c r="B140" s="3" t="s">
        <v>119</v>
      </c>
      <c r="C140" s="3" t="s">
        <v>120</v>
      </c>
      <c r="D140" s="3" t="s">
        <v>100</v>
      </c>
      <c r="E140" s="3" t="s">
        <v>209</v>
      </c>
      <c r="F140" s="3" t="str">
        <f t="shared" si="0"/>
        <v>Masaje120minPrenatalNORTE</v>
      </c>
      <c r="G140" s="1">
        <v>76000</v>
      </c>
      <c r="H140" s="1">
        <v>38319</v>
      </c>
    </row>
    <row r="141" spans="1:8" ht="14.25" customHeight="1">
      <c r="A141" s="3" t="s">
        <v>82</v>
      </c>
      <c r="B141" s="3" t="s">
        <v>119</v>
      </c>
      <c r="C141" s="3" t="s">
        <v>84</v>
      </c>
      <c r="D141" s="3" t="s">
        <v>123</v>
      </c>
      <c r="E141" s="3" t="s">
        <v>209</v>
      </c>
      <c r="F141" s="3" t="str">
        <f t="shared" si="0"/>
        <v>Masaje60minTejido profundoNORTE</v>
      </c>
      <c r="G141" s="1">
        <v>45000</v>
      </c>
      <c r="H141" s="1">
        <v>22689.0756302521</v>
      </c>
    </row>
    <row r="142" spans="1:8" ht="14.25" customHeight="1">
      <c r="A142" s="3" t="s">
        <v>82</v>
      </c>
      <c r="B142" s="3" t="s">
        <v>119</v>
      </c>
      <c r="C142" s="3" t="s">
        <v>146</v>
      </c>
      <c r="D142" s="3" t="s">
        <v>123</v>
      </c>
      <c r="E142" s="3" t="s">
        <v>209</v>
      </c>
      <c r="F142" s="3" t="str">
        <f t="shared" si="0"/>
        <v>Masaje90minTejido profundoNORTE</v>
      </c>
      <c r="G142" s="1">
        <v>63000</v>
      </c>
      <c r="H142" s="1">
        <v>31765</v>
      </c>
    </row>
    <row r="143" spans="1:8" ht="14.25" customHeight="1">
      <c r="A143" s="3" t="s">
        <v>82</v>
      </c>
      <c r="B143" s="3" t="s">
        <v>119</v>
      </c>
      <c r="C143" s="3" t="s">
        <v>120</v>
      </c>
      <c r="D143" s="3" t="s">
        <v>123</v>
      </c>
      <c r="E143" s="3" t="s">
        <v>209</v>
      </c>
      <c r="F143" s="3" t="str">
        <f t="shared" si="0"/>
        <v>Masaje120minTejido profundoNORTE</v>
      </c>
      <c r="G143" s="1">
        <v>76000</v>
      </c>
      <c r="H143" s="1">
        <v>38319.327731092439</v>
      </c>
    </row>
    <row r="144" spans="1:8" ht="14.25" customHeight="1">
      <c r="A144" s="3" t="s">
        <v>82</v>
      </c>
      <c r="B144" s="3" t="s">
        <v>119</v>
      </c>
      <c r="C144" s="3" t="s">
        <v>84</v>
      </c>
      <c r="D144" s="3" t="s">
        <v>150</v>
      </c>
      <c r="E144" s="3" t="s">
        <v>209</v>
      </c>
      <c r="F144" s="3" t="str">
        <f t="shared" si="0"/>
        <v>Masaje60minDeportivoNORTE</v>
      </c>
      <c r="G144" s="1">
        <v>45000</v>
      </c>
      <c r="H144" s="1">
        <v>22689.0756302521</v>
      </c>
    </row>
    <row r="145" spans="1:8" ht="14.25" customHeight="1">
      <c r="A145" s="3" t="s">
        <v>82</v>
      </c>
      <c r="B145" s="3" t="s">
        <v>119</v>
      </c>
      <c r="C145" s="3" t="s">
        <v>146</v>
      </c>
      <c r="D145" s="3" t="s">
        <v>150</v>
      </c>
      <c r="E145" s="3" t="s">
        <v>209</v>
      </c>
      <c r="F145" s="3" t="str">
        <f t="shared" si="0"/>
        <v>Masaje90minDeportivoNORTE</v>
      </c>
      <c r="G145" s="1">
        <v>63000</v>
      </c>
      <c r="H145" s="1">
        <v>31765</v>
      </c>
    </row>
    <row r="146" spans="1:8" ht="14.25" customHeight="1">
      <c r="A146" s="3" t="s">
        <v>82</v>
      </c>
      <c r="B146" s="3" t="s">
        <v>119</v>
      </c>
      <c r="C146" s="3" t="s">
        <v>120</v>
      </c>
      <c r="D146" s="3" t="s">
        <v>150</v>
      </c>
      <c r="E146" s="3" t="s">
        <v>209</v>
      </c>
      <c r="F146" s="3" t="str">
        <f t="shared" si="0"/>
        <v>Masaje120minDeportivoNORTE</v>
      </c>
      <c r="G146" s="1">
        <v>76000</v>
      </c>
      <c r="H146" s="1">
        <v>38319.327731092439</v>
      </c>
    </row>
    <row r="147" spans="1:8" ht="14.25" customHeight="1">
      <c r="A147" s="3" t="s">
        <v>137</v>
      </c>
      <c r="B147" s="3" t="s">
        <v>83</v>
      </c>
      <c r="C147" s="3" t="s">
        <v>84</v>
      </c>
      <c r="D147" s="3" t="s">
        <v>138</v>
      </c>
      <c r="E147" s="3" t="s">
        <v>209</v>
      </c>
      <c r="F147" s="3" t="str">
        <f t="shared" si="0"/>
        <v>Facial60minHidratación ProfundaNORTE</v>
      </c>
      <c r="G147" s="1">
        <v>60000</v>
      </c>
      <c r="H147" s="1">
        <v>30252</v>
      </c>
    </row>
    <row r="148" spans="1:8" ht="14.25" customHeight="1">
      <c r="A148" s="3" t="s">
        <v>137</v>
      </c>
      <c r="B148" s="3" t="s">
        <v>83</v>
      </c>
      <c r="C148" s="3" t="s">
        <v>84</v>
      </c>
      <c r="D148" s="3" t="s">
        <v>200</v>
      </c>
      <c r="E148" s="3" t="s">
        <v>209</v>
      </c>
      <c r="F148" s="3" t="str">
        <f t="shared" si="0"/>
        <v>Facial60minLimpieza ProfundaNORTE</v>
      </c>
      <c r="G148" s="1">
        <v>60000</v>
      </c>
      <c r="H148" s="1">
        <v>30252</v>
      </c>
    </row>
    <row r="149" spans="1:8" ht="14.25" customHeight="1">
      <c r="A149" s="3" t="s">
        <v>137</v>
      </c>
      <c r="B149" s="3" t="s">
        <v>83</v>
      </c>
      <c r="C149" s="3" t="s">
        <v>84</v>
      </c>
      <c r="D149" s="3" t="s">
        <v>201</v>
      </c>
      <c r="E149" s="3" t="s">
        <v>209</v>
      </c>
      <c r="F149" s="3" t="str">
        <f t="shared" si="0"/>
        <v>Facial60minTeen GermaineNORTE</v>
      </c>
      <c r="G149" s="1">
        <v>60000</v>
      </c>
      <c r="H149" s="1">
        <v>30252</v>
      </c>
    </row>
    <row r="150" spans="1:8" ht="14.25" customHeight="1">
      <c r="A150" s="3" t="s">
        <v>137</v>
      </c>
      <c r="B150" s="3" t="s">
        <v>83</v>
      </c>
      <c r="C150" s="3" t="s">
        <v>84</v>
      </c>
      <c r="D150" s="3" t="s">
        <v>202</v>
      </c>
      <c r="E150" s="3" t="s">
        <v>209</v>
      </c>
      <c r="F150" s="3" t="str">
        <f t="shared" si="0"/>
        <v>Facial60minThe ultimate grooming facial FOR HIMNORTE</v>
      </c>
      <c r="G150" s="1">
        <v>60000</v>
      </c>
      <c r="H150" s="1">
        <v>30252</v>
      </c>
    </row>
    <row r="151" spans="1:8" ht="14.25" customHeight="1">
      <c r="A151" s="3" t="s">
        <v>163</v>
      </c>
      <c r="B151" s="3" t="s">
        <v>83</v>
      </c>
      <c r="C151" s="3" t="s">
        <v>84</v>
      </c>
      <c r="D151" s="3" t="s">
        <v>203</v>
      </c>
      <c r="E151" s="3" t="s">
        <v>209</v>
      </c>
      <c r="F151" s="3" t="str">
        <f t="shared" si="0"/>
        <v>Facial + Masaje60minHidratación Profunda + RelajanteNORTE</v>
      </c>
      <c r="G151" s="1">
        <v>95000</v>
      </c>
      <c r="H151" s="1">
        <v>47889</v>
      </c>
    </row>
    <row r="152" spans="1:8" ht="14.25" customHeight="1">
      <c r="A152" s="3" t="s">
        <v>163</v>
      </c>
      <c r="B152" s="3" t="s">
        <v>83</v>
      </c>
      <c r="C152" s="3" t="s">
        <v>84</v>
      </c>
      <c r="D152" s="3" t="s">
        <v>204</v>
      </c>
      <c r="E152" s="3" t="s">
        <v>209</v>
      </c>
      <c r="F152" s="3" t="str">
        <f t="shared" si="0"/>
        <v>Facial + Masaje60minHidratación Profunda + PrenatalNORTE</v>
      </c>
      <c r="G152" s="1">
        <v>95000</v>
      </c>
      <c r="H152" s="1">
        <v>47889</v>
      </c>
    </row>
    <row r="153" spans="1:8" ht="14.25" customHeight="1">
      <c r="A153" s="3" t="s">
        <v>163</v>
      </c>
      <c r="B153" s="3" t="s">
        <v>83</v>
      </c>
      <c r="C153" s="3" t="s">
        <v>84</v>
      </c>
      <c r="D153" s="3" t="s">
        <v>205</v>
      </c>
      <c r="E153" s="3" t="s">
        <v>209</v>
      </c>
      <c r="F153" s="3" t="str">
        <f t="shared" si="0"/>
        <v>Facial + Masaje60minHidratación Profunda + Tejido profundoNORTE</v>
      </c>
      <c r="G153" s="1">
        <v>95000</v>
      </c>
      <c r="H153" s="1">
        <v>47889</v>
      </c>
    </row>
    <row r="154" spans="1:8" ht="14.25" customHeight="1">
      <c r="A154" s="3" t="s">
        <v>163</v>
      </c>
      <c r="B154" s="3" t="s">
        <v>83</v>
      </c>
      <c r="C154" s="3" t="s">
        <v>84</v>
      </c>
      <c r="D154" s="3" t="s">
        <v>206</v>
      </c>
      <c r="E154" s="3" t="s">
        <v>209</v>
      </c>
      <c r="F154" s="3" t="str">
        <f t="shared" si="0"/>
        <v>Facial + Masaje60minHidratación Profunda + DeportivoNORTE</v>
      </c>
      <c r="G154" s="1">
        <v>95000</v>
      </c>
      <c r="H154" s="1">
        <v>47889</v>
      </c>
    </row>
    <row r="155" spans="1:8" ht="14.25" customHeight="1">
      <c r="A155" s="3" t="s">
        <v>163</v>
      </c>
      <c r="B155" s="3" t="s">
        <v>83</v>
      </c>
      <c r="C155" s="3" t="s">
        <v>146</v>
      </c>
      <c r="D155" s="3" t="s">
        <v>222</v>
      </c>
      <c r="E155" s="3" t="s">
        <v>209</v>
      </c>
      <c r="F155" s="3" t="str">
        <f t="shared" si="0"/>
        <v>Facial + Masaje90minHidratación Profunda + Relajante 90 MINNORTE</v>
      </c>
      <c r="G155" s="1">
        <v>115000</v>
      </c>
      <c r="H155" s="1">
        <v>57983</v>
      </c>
    </row>
    <row r="156" spans="1:8" ht="14.25" customHeight="1">
      <c r="A156" s="3" t="s">
        <v>163</v>
      </c>
      <c r="B156" s="3" t="s">
        <v>83</v>
      </c>
      <c r="C156" s="3" t="s">
        <v>146</v>
      </c>
      <c r="D156" s="3" t="s">
        <v>223</v>
      </c>
      <c r="E156" s="3" t="s">
        <v>209</v>
      </c>
      <c r="F156" s="3" t="str">
        <f t="shared" si="0"/>
        <v>Facial + Masaje90minHidratación Profunda + Prenatal 90 MINNORTE</v>
      </c>
      <c r="G156" s="1">
        <v>115000</v>
      </c>
      <c r="H156" s="1">
        <v>57983</v>
      </c>
    </row>
    <row r="157" spans="1:8" ht="14.25" customHeight="1">
      <c r="A157" s="3" t="s">
        <v>163</v>
      </c>
      <c r="B157" s="3" t="s">
        <v>83</v>
      </c>
      <c r="C157" s="3" t="s">
        <v>146</v>
      </c>
      <c r="D157" s="3" t="s">
        <v>224</v>
      </c>
      <c r="E157" s="3" t="s">
        <v>209</v>
      </c>
      <c r="F157" s="3" t="str">
        <f t="shared" si="0"/>
        <v>Facial + Masaje90minHidratación Profunda + Tejido profundo 90 MINNORTE</v>
      </c>
      <c r="G157" s="1">
        <v>115000</v>
      </c>
      <c r="H157" s="1">
        <v>57983</v>
      </c>
    </row>
    <row r="158" spans="1:8" ht="14.25" customHeight="1">
      <c r="A158" s="3" t="s">
        <v>163</v>
      </c>
      <c r="B158" s="3" t="s">
        <v>83</v>
      </c>
      <c r="C158" s="3" t="s">
        <v>146</v>
      </c>
      <c r="D158" s="3" t="s">
        <v>225</v>
      </c>
      <c r="E158" s="3" t="s">
        <v>209</v>
      </c>
      <c r="F158" s="3" t="str">
        <f t="shared" si="0"/>
        <v>Facial + Masaje90minHidratación Profunda + Deportivo 90 MINNORTE</v>
      </c>
      <c r="G158" s="1">
        <v>115000</v>
      </c>
      <c r="H158" s="1">
        <v>57983</v>
      </c>
    </row>
    <row r="159" spans="1:8" ht="14.25" customHeight="1">
      <c r="A159" s="3" t="s">
        <v>163</v>
      </c>
      <c r="B159" s="3" t="s">
        <v>83</v>
      </c>
      <c r="C159" s="3" t="s">
        <v>84</v>
      </c>
      <c r="D159" s="3" t="s">
        <v>228</v>
      </c>
      <c r="E159" s="3" t="s">
        <v>209</v>
      </c>
      <c r="F159" s="3" t="str">
        <f t="shared" si="0"/>
        <v>Facial + Masaje60minLimpieza Profunda + Drenaje LinfáticoNORTE</v>
      </c>
      <c r="G159" s="1">
        <v>95000</v>
      </c>
      <c r="H159" s="1">
        <v>47889</v>
      </c>
    </row>
    <row r="160" spans="1:8" ht="14.25" customHeight="1">
      <c r="A160" s="3" t="s">
        <v>163</v>
      </c>
      <c r="B160" s="3" t="s">
        <v>83</v>
      </c>
      <c r="C160" s="3" t="s">
        <v>84</v>
      </c>
      <c r="D160" s="3" t="s">
        <v>228</v>
      </c>
      <c r="E160" s="3" t="s">
        <v>210</v>
      </c>
      <c r="F160" s="3" t="str">
        <f t="shared" si="0"/>
        <v>Facial + Masaje60minLimpieza Profunda + Drenaje LinfáticoSUR</v>
      </c>
      <c r="G160" s="1">
        <v>95000</v>
      </c>
      <c r="H160" s="1">
        <v>47889</v>
      </c>
    </row>
    <row r="161" spans="1:8" ht="14.25" customHeight="1">
      <c r="A161" s="3" t="s">
        <v>163</v>
      </c>
      <c r="B161" s="3" t="s">
        <v>83</v>
      </c>
      <c r="C161" s="3" t="s">
        <v>84</v>
      </c>
      <c r="D161" s="3" t="s">
        <v>228</v>
      </c>
      <c r="E161" s="3" t="s">
        <v>211</v>
      </c>
      <c r="F161" s="3" t="str">
        <f t="shared" si="0"/>
        <v>Facial + Masaje60minLimpieza Profunda + Drenaje LinfáticoZONA COSTA</v>
      </c>
      <c r="G161" s="1">
        <v>95000</v>
      </c>
      <c r="H161" s="1">
        <v>47889</v>
      </c>
    </row>
    <row r="162" spans="1:8" ht="14.25" customHeight="1">
      <c r="A162" s="3" t="s">
        <v>163</v>
      </c>
      <c r="B162" s="3" t="s">
        <v>83</v>
      </c>
      <c r="C162" s="3" t="s">
        <v>84</v>
      </c>
      <c r="D162" s="3" t="s">
        <v>228</v>
      </c>
      <c r="E162" s="3" t="s">
        <v>108</v>
      </c>
      <c r="F162" s="3" t="str">
        <f t="shared" si="0"/>
        <v>Facial + Masaje60minLimpieza Profunda + Drenaje LinfáticoLO BARNECHEA</v>
      </c>
      <c r="G162" s="1">
        <v>95000</v>
      </c>
      <c r="H162" s="1">
        <v>47889</v>
      </c>
    </row>
    <row r="163" spans="1:8" ht="14.25" customHeight="1">
      <c r="A163" s="3" t="s">
        <v>163</v>
      </c>
      <c r="B163" s="3" t="s">
        <v>83</v>
      </c>
      <c r="C163" s="3" t="s">
        <v>84</v>
      </c>
      <c r="D163" s="3" t="s">
        <v>228</v>
      </c>
      <c r="E163" s="3" t="s">
        <v>101</v>
      </c>
      <c r="F163" s="3" t="str">
        <f t="shared" si="0"/>
        <v>Facial + Masaje60minLimpieza Profunda + Drenaje LinfáticoCOLINA</v>
      </c>
      <c r="G163" s="1">
        <v>95000</v>
      </c>
      <c r="H163" s="1">
        <v>47889</v>
      </c>
    </row>
    <row r="164" spans="1:8" ht="14.25" customHeight="1">
      <c r="A164" s="3" t="s">
        <v>163</v>
      </c>
      <c r="B164" s="3" t="s">
        <v>83</v>
      </c>
      <c r="C164" s="3" t="s">
        <v>84</v>
      </c>
      <c r="D164" s="3" t="s">
        <v>241</v>
      </c>
      <c r="E164" s="3" t="s">
        <v>199</v>
      </c>
      <c r="F164" s="3" t="str">
        <f t="shared" si="0"/>
        <v>Facial + Masaje60minLimpieza Profunda + PrenatalORIENTE</v>
      </c>
      <c r="G164" s="1">
        <v>95000</v>
      </c>
      <c r="H164" s="1">
        <v>47889</v>
      </c>
    </row>
    <row r="165" spans="1:8" ht="14.25" customHeight="1">
      <c r="A165" s="3" t="s">
        <v>163</v>
      </c>
      <c r="B165" s="3" t="s">
        <v>83</v>
      </c>
      <c r="C165" s="3" t="s">
        <v>84</v>
      </c>
      <c r="D165" s="3" t="s">
        <v>241</v>
      </c>
      <c r="E165" s="3" t="s">
        <v>208</v>
      </c>
      <c r="F165" s="3" t="str">
        <f t="shared" si="0"/>
        <v>Facial + Masaje60minLimpieza Profunda + PrenatalPONIENTE</v>
      </c>
      <c r="G165" s="1">
        <v>95000</v>
      </c>
      <c r="H165" s="1">
        <v>47889</v>
      </c>
    </row>
    <row r="166" spans="1:8" ht="14.25" customHeight="1">
      <c r="A166" s="3" t="s">
        <v>163</v>
      </c>
      <c r="B166" s="3" t="s">
        <v>83</v>
      </c>
      <c r="C166" s="3" t="s">
        <v>84</v>
      </c>
      <c r="D166" s="3" t="s">
        <v>241</v>
      </c>
      <c r="E166" s="3" t="s">
        <v>209</v>
      </c>
      <c r="F166" s="3" t="str">
        <f t="shared" si="0"/>
        <v>Facial + Masaje60minLimpieza Profunda + PrenatalNORTE</v>
      </c>
      <c r="G166" s="1">
        <v>95000</v>
      </c>
      <c r="H166" s="1">
        <v>47889</v>
      </c>
    </row>
    <row r="167" spans="1:8" ht="14.25" customHeight="1">
      <c r="A167" s="3" t="s">
        <v>163</v>
      </c>
      <c r="B167" s="3" t="s">
        <v>83</v>
      </c>
      <c r="C167" s="3" t="s">
        <v>84</v>
      </c>
      <c r="D167" s="3" t="s">
        <v>229</v>
      </c>
      <c r="E167" s="3" t="s">
        <v>209</v>
      </c>
      <c r="F167" s="3" t="str">
        <f t="shared" si="0"/>
        <v>Facial + Masaje60minTeen Germaine + Relajante 60 MINNORTE</v>
      </c>
      <c r="G167" s="1">
        <v>95000</v>
      </c>
      <c r="H167" s="1">
        <v>47889</v>
      </c>
    </row>
    <row r="168" spans="1:8" ht="14.25" customHeight="1">
      <c r="A168" s="3" t="s">
        <v>163</v>
      </c>
      <c r="B168" s="3" t="s">
        <v>83</v>
      </c>
      <c r="C168" s="3" t="s">
        <v>84</v>
      </c>
      <c r="D168" s="3" t="s">
        <v>230</v>
      </c>
      <c r="E168" s="3" t="s">
        <v>209</v>
      </c>
      <c r="F168" s="3" t="str">
        <f t="shared" si="0"/>
        <v>Facial + Masaje60minTeen Germaine + Prenatal 60 MINNORTE</v>
      </c>
      <c r="G168" s="1">
        <v>95000</v>
      </c>
      <c r="H168" s="1">
        <v>47889</v>
      </c>
    </row>
    <row r="169" spans="1:8" ht="14.25" customHeight="1">
      <c r="A169" s="3" t="s">
        <v>163</v>
      </c>
      <c r="B169" s="3" t="s">
        <v>83</v>
      </c>
      <c r="C169" s="3" t="s">
        <v>84</v>
      </c>
      <c r="D169" s="3" t="s">
        <v>231</v>
      </c>
      <c r="E169" s="3" t="s">
        <v>209</v>
      </c>
      <c r="F169" s="3" t="str">
        <f t="shared" si="0"/>
        <v>Facial + Masaje60minTeen Germaine + Tejido profundo 60 MINNORTE</v>
      </c>
      <c r="G169" s="1">
        <v>95000</v>
      </c>
      <c r="H169" s="1">
        <v>47889</v>
      </c>
    </row>
    <row r="170" spans="1:8" ht="14.25" customHeight="1">
      <c r="A170" s="3" t="s">
        <v>163</v>
      </c>
      <c r="B170" s="3" t="s">
        <v>83</v>
      </c>
      <c r="C170" s="3" t="s">
        <v>84</v>
      </c>
      <c r="D170" s="3" t="s">
        <v>232</v>
      </c>
      <c r="E170" s="3" t="s">
        <v>209</v>
      </c>
      <c r="F170" s="3" t="str">
        <f t="shared" si="0"/>
        <v>Facial + Masaje60minTeen Germaine + Deportivo 60 MINNORTE</v>
      </c>
      <c r="G170" s="1">
        <v>95000</v>
      </c>
      <c r="H170" s="1">
        <v>47889</v>
      </c>
    </row>
    <row r="171" spans="1:8" ht="14.25" customHeight="1">
      <c r="A171" s="3" t="s">
        <v>163</v>
      </c>
      <c r="B171" s="3" t="s">
        <v>83</v>
      </c>
      <c r="C171" s="3" t="s">
        <v>146</v>
      </c>
      <c r="D171" s="3" t="s">
        <v>233</v>
      </c>
      <c r="E171" s="3" t="s">
        <v>209</v>
      </c>
      <c r="F171" s="3" t="str">
        <f t="shared" si="0"/>
        <v>Facial + Masaje90minTeen Germaine + Relajante 90 MINNORTE</v>
      </c>
      <c r="G171" s="1">
        <v>115000</v>
      </c>
      <c r="H171" s="1">
        <v>57983</v>
      </c>
    </row>
    <row r="172" spans="1:8" ht="14.25" customHeight="1">
      <c r="A172" s="3" t="s">
        <v>163</v>
      </c>
      <c r="B172" s="3" t="s">
        <v>83</v>
      </c>
      <c r="C172" s="3" t="s">
        <v>146</v>
      </c>
      <c r="D172" s="3" t="s">
        <v>234</v>
      </c>
      <c r="E172" s="3" t="s">
        <v>209</v>
      </c>
      <c r="F172" s="3" t="str">
        <f t="shared" si="0"/>
        <v>Facial + Masaje90minTeen Germaine + Prenatal 90 MINNORTE</v>
      </c>
      <c r="G172" s="1">
        <v>115000</v>
      </c>
      <c r="H172" s="1">
        <v>57983</v>
      </c>
    </row>
    <row r="173" spans="1:8" ht="14.25" customHeight="1">
      <c r="A173" s="3" t="s">
        <v>163</v>
      </c>
      <c r="B173" s="3" t="s">
        <v>83</v>
      </c>
      <c r="C173" s="3" t="s">
        <v>146</v>
      </c>
      <c r="D173" s="3" t="s">
        <v>235</v>
      </c>
      <c r="E173" s="3" t="s">
        <v>209</v>
      </c>
      <c r="F173" s="3" t="str">
        <f t="shared" si="0"/>
        <v>Facial + Masaje90minTeen Germaine + Tejido profundo 90 MINNORTE</v>
      </c>
      <c r="G173" s="1">
        <v>115000</v>
      </c>
      <c r="H173" s="1">
        <v>57983</v>
      </c>
    </row>
    <row r="174" spans="1:8" ht="14.25" customHeight="1">
      <c r="A174" s="3" t="s">
        <v>163</v>
      </c>
      <c r="B174" s="3" t="s">
        <v>83</v>
      </c>
      <c r="C174" s="3" t="s">
        <v>146</v>
      </c>
      <c r="D174" s="3" t="s">
        <v>236</v>
      </c>
      <c r="E174" s="3" t="s">
        <v>209</v>
      </c>
      <c r="F174" s="3" t="str">
        <f t="shared" si="0"/>
        <v>Facial + Masaje90minTeen Germaine + Deportivo 90 MINNORTE</v>
      </c>
      <c r="G174" s="1">
        <v>115000</v>
      </c>
      <c r="H174" s="1">
        <v>57983</v>
      </c>
    </row>
    <row r="175" spans="1:8" ht="14.25" customHeight="1">
      <c r="A175" s="3" t="s">
        <v>163</v>
      </c>
      <c r="B175" s="3" t="s">
        <v>83</v>
      </c>
      <c r="C175" s="3" t="s">
        <v>84</v>
      </c>
      <c r="D175" s="3" t="s">
        <v>217</v>
      </c>
      <c r="E175" s="3" t="s">
        <v>209</v>
      </c>
      <c r="F175" s="3" t="str">
        <f t="shared" si="0"/>
        <v>Facial + Masaje60minFacial para él + RelajanteNORTE</v>
      </c>
      <c r="G175" s="1">
        <v>95000</v>
      </c>
      <c r="H175" s="1">
        <v>47889</v>
      </c>
    </row>
    <row r="176" spans="1:8" ht="14.25" customHeight="1">
      <c r="A176" s="3" t="s">
        <v>163</v>
      </c>
      <c r="B176" s="3" t="s">
        <v>83</v>
      </c>
      <c r="C176" s="3" t="s">
        <v>84</v>
      </c>
      <c r="D176" s="3" t="s">
        <v>218</v>
      </c>
      <c r="E176" s="3" t="s">
        <v>209</v>
      </c>
      <c r="F176" s="3" t="str">
        <f t="shared" si="0"/>
        <v>Facial + Masaje60minFacial para él  + PrenatalNORTE</v>
      </c>
      <c r="G176" s="1">
        <v>95000</v>
      </c>
      <c r="H176" s="1">
        <v>47889</v>
      </c>
    </row>
    <row r="177" spans="1:8" ht="14.25" customHeight="1">
      <c r="A177" s="3" t="s">
        <v>163</v>
      </c>
      <c r="B177" s="3" t="s">
        <v>83</v>
      </c>
      <c r="C177" s="3" t="s">
        <v>84</v>
      </c>
      <c r="D177" s="3" t="s">
        <v>219</v>
      </c>
      <c r="E177" s="3" t="s">
        <v>209</v>
      </c>
      <c r="F177" s="3" t="str">
        <f t="shared" si="0"/>
        <v>Facial + Masaje60minFacial para él + Tejido profundoNORTE</v>
      </c>
      <c r="G177" s="1">
        <v>95000</v>
      </c>
      <c r="H177" s="1">
        <v>47889</v>
      </c>
    </row>
    <row r="178" spans="1:8" ht="14.25" customHeight="1">
      <c r="A178" s="3" t="s">
        <v>163</v>
      </c>
      <c r="B178" s="3" t="s">
        <v>83</v>
      </c>
      <c r="C178" s="3" t="s">
        <v>84</v>
      </c>
      <c r="D178" s="3" t="s">
        <v>220</v>
      </c>
      <c r="E178" s="3" t="s">
        <v>209</v>
      </c>
      <c r="F178" s="3" t="str">
        <f t="shared" si="0"/>
        <v>Facial + Masaje60minFacial para él  + DeportivoNORTE</v>
      </c>
      <c r="G178" s="1">
        <v>95000</v>
      </c>
      <c r="H178" s="1">
        <v>47889</v>
      </c>
    </row>
    <row r="179" spans="1:8" ht="14.25" customHeight="1">
      <c r="A179" s="3" t="s">
        <v>163</v>
      </c>
      <c r="B179" s="3" t="s">
        <v>83</v>
      </c>
      <c r="C179" s="3" t="s">
        <v>146</v>
      </c>
      <c r="D179" s="3" t="s">
        <v>237</v>
      </c>
      <c r="E179" s="3" t="s">
        <v>209</v>
      </c>
      <c r="F179" s="3" t="str">
        <f t="shared" si="0"/>
        <v>Facial + Masaje90minFacial para él  + Relajante 90 MINNORTE</v>
      </c>
      <c r="G179" s="1">
        <v>115000</v>
      </c>
      <c r="H179" s="1">
        <v>57983</v>
      </c>
    </row>
    <row r="180" spans="1:8" ht="14.25" customHeight="1">
      <c r="A180" s="3" t="s">
        <v>163</v>
      </c>
      <c r="B180" s="3" t="s">
        <v>83</v>
      </c>
      <c r="C180" s="3" t="s">
        <v>146</v>
      </c>
      <c r="D180" s="3" t="s">
        <v>238</v>
      </c>
      <c r="E180" s="3" t="s">
        <v>209</v>
      </c>
      <c r="F180" s="3" t="str">
        <f t="shared" si="0"/>
        <v>Facial + Masaje90minFacial para él  + Prenatal 90 MINNORTE</v>
      </c>
      <c r="G180" s="1">
        <v>115000</v>
      </c>
      <c r="H180" s="1">
        <v>57983</v>
      </c>
    </row>
    <row r="181" spans="1:8" ht="14.25" customHeight="1">
      <c r="A181" s="3" t="s">
        <v>163</v>
      </c>
      <c r="B181" s="3" t="s">
        <v>83</v>
      </c>
      <c r="C181" s="3" t="s">
        <v>146</v>
      </c>
      <c r="D181" s="3" t="s">
        <v>239</v>
      </c>
      <c r="E181" s="3" t="s">
        <v>209</v>
      </c>
      <c r="F181" s="3" t="str">
        <f t="shared" si="0"/>
        <v>Facial + Masaje90minFacial para él  + Tejido profundo 90 MINNORTE</v>
      </c>
      <c r="G181" s="1">
        <v>115000</v>
      </c>
      <c r="H181" s="1">
        <v>57983</v>
      </c>
    </row>
    <row r="182" spans="1:8" ht="14.25" customHeight="1">
      <c r="A182" s="3" t="s">
        <v>163</v>
      </c>
      <c r="B182" s="3" t="s">
        <v>83</v>
      </c>
      <c r="C182" s="3" t="s">
        <v>146</v>
      </c>
      <c r="D182" s="3" t="s">
        <v>240</v>
      </c>
      <c r="E182" s="3" t="s">
        <v>209</v>
      </c>
      <c r="F182" s="3" t="str">
        <f t="shared" si="0"/>
        <v>Facial + Masaje90minFacial para él  + Deportivo 90 MINNORTE</v>
      </c>
      <c r="G182" s="1">
        <v>115000</v>
      </c>
      <c r="H182" s="1">
        <v>57983</v>
      </c>
    </row>
    <row r="183" spans="1:8" ht="14.25" customHeight="1">
      <c r="A183" s="3" t="s">
        <v>82</v>
      </c>
      <c r="B183" s="3" t="s">
        <v>83</v>
      </c>
      <c r="C183" s="3" t="s">
        <v>84</v>
      </c>
      <c r="D183" s="3" t="s">
        <v>85</v>
      </c>
      <c r="E183" s="3" t="s">
        <v>210</v>
      </c>
      <c r="F183" s="3" t="str">
        <f t="shared" si="0"/>
        <v>Masaje60minRelajanteSUR</v>
      </c>
      <c r="G183" s="1">
        <v>45000</v>
      </c>
      <c r="H183" s="1">
        <v>22689</v>
      </c>
    </row>
    <row r="184" spans="1:8" ht="14.25" customHeight="1">
      <c r="A184" s="3" t="s">
        <v>82</v>
      </c>
      <c r="B184" s="3" t="s">
        <v>83</v>
      </c>
      <c r="C184" s="3" t="s">
        <v>146</v>
      </c>
      <c r="D184" s="3" t="s">
        <v>85</v>
      </c>
      <c r="E184" s="3" t="s">
        <v>210</v>
      </c>
      <c r="F184" s="3" t="str">
        <f t="shared" si="0"/>
        <v>Masaje90minRelajanteSUR</v>
      </c>
      <c r="G184" s="1">
        <v>63000</v>
      </c>
      <c r="H184" s="1">
        <v>31765</v>
      </c>
    </row>
    <row r="185" spans="1:8" ht="14.25" customHeight="1">
      <c r="A185" s="3" t="s">
        <v>82</v>
      </c>
      <c r="B185" s="3" t="s">
        <v>83</v>
      </c>
      <c r="C185" s="3" t="s">
        <v>120</v>
      </c>
      <c r="D185" s="3" t="s">
        <v>85</v>
      </c>
      <c r="E185" s="3" t="s">
        <v>210</v>
      </c>
      <c r="F185" s="3" t="str">
        <f t="shared" si="0"/>
        <v>Masaje120minRelajanteSUR</v>
      </c>
      <c r="G185" s="1">
        <v>76000</v>
      </c>
      <c r="H185" s="1">
        <v>38319</v>
      </c>
    </row>
    <row r="186" spans="1:8" ht="14.25" customHeight="1">
      <c r="A186" s="3" t="s">
        <v>82</v>
      </c>
      <c r="B186" s="3" t="s">
        <v>83</v>
      </c>
      <c r="C186" s="3" t="s">
        <v>84</v>
      </c>
      <c r="D186" s="3" t="s">
        <v>100</v>
      </c>
      <c r="E186" s="3" t="s">
        <v>210</v>
      </c>
      <c r="F186" s="3" t="str">
        <f t="shared" si="0"/>
        <v>Masaje60minPrenatalSUR</v>
      </c>
      <c r="G186" s="1">
        <v>45000</v>
      </c>
      <c r="H186" s="1">
        <v>22689</v>
      </c>
    </row>
    <row r="187" spans="1:8" ht="14.25" customHeight="1">
      <c r="A187" s="3" t="s">
        <v>82</v>
      </c>
      <c r="B187" s="3" t="s">
        <v>83</v>
      </c>
      <c r="C187" s="3" t="s">
        <v>146</v>
      </c>
      <c r="D187" s="3" t="s">
        <v>100</v>
      </c>
      <c r="E187" s="3" t="s">
        <v>210</v>
      </c>
      <c r="F187" s="3" t="str">
        <f t="shared" si="0"/>
        <v>Masaje90minPrenatalSUR</v>
      </c>
      <c r="G187" s="1">
        <v>63000</v>
      </c>
      <c r="H187" s="1">
        <v>31765</v>
      </c>
    </row>
    <row r="188" spans="1:8" ht="14.25" customHeight="1">
      <c r="A188" s="3" t="s">
        <v>82</v>
      </c>
      <c r="B188" s="3" t="s">
        <v>83</v>
      </c>
      <c r="C188" s="3" t="s">
        <v>120</v>
      </c>
      <c r="D188" s="3" t="s">
        <v>100</v>
      </c>
      <c r="E188" s="3" t="s">
        <v>210</v>
      </c>
      <c r="F188" s="3" t="str">
        <f t="shared" si="0"/>
        <v>Masaje120minPrenatalSUR</v>
      </c>
      <c r="G188" s="1">
        <v>76000</v>
      </c>
      <c r="H188" s="1">
        <v>38319</v>
      </c>
    </row>
    <row r="189" spans="1:8" ht="14.25" customHeight="1">
      <c r="A189" s="3" t="s">
        <v>82</v>
      </c>
      <c r="B189" s="3" t="s">
        <v>83</v>
      </c>
      <c r="C189" s="3" t="s">
        <v>84</v>
      </c>
      <c r="D189" s="3" t="s">
        <v>123</v>
      </c>
      <c r="E189" s="3" t="s">
        <v>210</v>
      </c>
      <c r="F189" s="3" t="str">
        <f t="shared" si="0"/>
        <v>Masaje60minTejido profundoSUR</v>
      </c>
      <c r="G189" s="1">
        <v>45000</v>
      </c>
      <c r="H189" s="1">
        <v>22689.0756302521</v>
      </c>
    </row>
    <row r="190" spans="1:8" ht="14.25" customHeight="1">
      <c r="A190" s="3" t="s">
        <v>82</v>
      </c>
      <c r="B190" s="3" t="s">
        <v>83</v>
      </c>
      <c r="C190" s="3" t="s">
        <v>146</v>
      </c>
      <c r="D190" s="3" t="s">
        <v>123</v>
      </c>
      <c r="E190" s="3" t="s">
        <v>210</v>
      </c>
      <c r="F190" s="3" t="str">
        <f t="shared" si="0"/>
        <v>Masaje90minTejido profundoSUR</v>
      </c>
      <c r="G190" s="1">
        <v>63000</v>
      </c>
      <c r="H190" s="1">
        <v>31765</v>
      </c>
    </row>
    <row r="191" spans="1:8" ht="14.25" customHeight="1">
      <c r="A191" s="3" t="s">
        <v>82</v>
      </c>
      <c r="B191" s="3" t="s">
        <v>83</v>
      </c>
      <c r="C191" s="3" t="s">
        <v>120</v>
      </c>
      <c r="D191" s="3" t="s">
        <v>123</v>
      </c>
      <c r="E191" s="3" t="s">
        <v>210</v>
      </c>
      <c r="F191" s="3" t="str">
        <f t="shared" si="0"/>
        <v>Masaje120minTejido profundoSUR</v>
      </c>
      <c r="G191" s="1">
        <v>76000</v>
      </c>
      <c r="H191" s="1">
        <v>38319.327731092439</v>
      </c>
    </row>
    <row r="192" spans="1:8" ht="14.25" customHeight="1">
      <c r="A192" s="3" t="s">
        <v>82</v>
      </c>
      <c r="B192" s="3" t="s">
        <v>83</v>
      </c>
      <c r="C192" s="3" t="s">
        <v>84</v>
      </c>
      <c r="D192" s="3" t="s">
        <v>150</v>
      </c>
      <c r="E192" s="3" t="s">
        <v>210</v>
      </c>
      <c r="F192" s="3" t="str">
        <f t="shared" si="0"/>
        <v>Masaje60minDeportivoSUR</v>
      </c>
      <c r="G192" s="1">
        <v>45000</v>
      </c>
      <c r="H192" s="1">
        <v>22689.0756302521</v>
      </c>
    </row>
    <row r="193" spans="1:8" ht="14.25" customHeight="1">
      <c r="A193" s="3" t="s">
        <v>82</v>
      </c>
      <c r="B193" s="3" t="s">
        <v>83</v>
      </c>
      <c r="C193" s="3" t="s">
        <v>146</v>
      </c>
      <c r="D193" s="3" t="s">
        <v>150</v>
      </c>
      <c r="E193" s="3" t="s">
        <v>210</v>
      </c>
      <c r="F193" s="3" t="str">
        <f t="shared" si="0"/>
        <v>Masaje90minDeportivoSUR</v>
      </c>
      <c r="G193" s="1">
        <v>63000</v>
      </c>
      <c r="H193" s="1">
        <v>31765</v>
      </c>
    </row>
    <row r="194" spans="1:8" ht="14.25" customHeight="1">
      <c r="A194" s="3" t="s">
        <v>82</v>
      </c>
      <c r="B194" s="3" t="s">
        <v>83</v>
      </c>
      <c r="C194" s="3" t="s">
        <v>120</v>
      </c>
      <c r="D194" s="3" t="s">
        <v>150</v>
      </c>
      <c r="E194" s="3" t="s">
        <v>210</v>
      </c>
      <c r="F194" s="3" t="str">
        <f t="shared" si="0"/>
        <v>Masaje120minDeportivoSUR</v>
      </c>
      <c r="G194" s="1">
        <v>76000</v>
      </c>
      <c r="H194" s="1">
        <v>38319.327731092439</v>
      </c>
    </row>
    <row r="195" spans="1:8" ht="14.25" customHeight="1">
      <c r="A195" s="3" t="s">
        <v>82</v>
      </c>
      <c r="B195" s="3" t="s">
        <v>119</v>
      </c>
      <c r="C195" s="3" t="s">
        <v>84</v>
      </c>
      <c r="D195" s="3" t="s">
        <v>85</v>
      </c>
      <c r="E195" s="3" t="s">
        <v>210</v>
      </c>
      <c r="F195" s="3" t="str">
        <f t="shared" si="0"/>
        <v>Masaje60minRelajanteSUR</v>
      </c>
      <c r="G195" s="1">
        <v>45000</v>
      </c>
      <c r="H195" s="1">
        <v>22689</v>
      </c>
    </row>
    <row r="196" spans="1:8" ht="14.25" customHeight="1">
      <c r="A196" s="3" t="s">
        <v>82</v>
      </c>
      <c r="B196" s="3" t="s">
        <v>119</v>
      </c>
      <c r="C196" s="3" t="s">
        <v>146</v>
      </c>
      <c r="D196" s="3" t="s">
        <v>85</v>
      </c>
      <c r="E196" s="3" t="s">
        <v>210</v>
      </c>
      <c r="F196" s="3" t="str">
        <f t="shared" si="0"/>
        <v>Masaje90minRelajanteSUR</v>
      </c>
      <c r="G196" s="1">
        <v>63000</v>
      </c>
      <c r="H196" s="1">
        <v>31765</v>
      </c>
    </row>
    <row r="197" spans="1:8" ht="14.25" customHeight="1">
      <c r="A197" s="3" t="s">
        <v>82</v>
      </c>
      <c r="B197" s="3" t="s">
        <v>119</v>
      </c>
      <c r="C197" s="3" t="s">
        <v>120</v>
      </c>
      <c r="D197" s="3" t="s">
        <v>85</v>
      </c>
      <c r="E197" s="3" t="s">
        <v>210</v>
      </c>
      <c r="F197" s="3" t="str">
        <f t="shared" si="0"/>
        <v>Masaje120minRelajanteSUR</v>
      </c>
      <c r="G197" s="1">
        <v>76000</v>
      </c>
      <c r="H197" s="1">
        <v>38319</v>
      </c>
    </row>
    <row r="198" spans="1:8" ht="14.25" customHeight="1">
      <c r="A198" s="3" t="s">
        <v>82</v>
      </c>
      <c r="B198" s="3" t="s">
        <v>119</v>
      </c>
      <c r="C198" s="3" t="s">
        <v>84</v>
      </c>
      <c r="D198" s="3" t="s">
        <v>100</v>
      </c>
      <c r="E198" s="3" t="s">
        <v>210</v>
      </c>
      <c r="F198" s="3" t="str">
        <f t="shared" si="0"/>
        <v>Masaje60minPrenatalSUR</v>
      </c>
      <c r="G198" s="1">
        <v>45000</v>
      </c>
      <c r="H198" s="1">
        <v>22689</v>
      </c>
    </row>
    <row r="199" spans="1:8" ht="14.25" customHeight="1">
      <c r="A199" s="3" t="s">
        <v>82</v>
      </c>
      <c r="B199" s="3" t="s">
        <v>119</v>
      </c>
      <c r="C199" s="3" t="s">
        <v>146</v>
      </c>
      <c r="D199" s="3" t="s">
        <v>100</v>
      </c>
      <c r="E199" s="3" t="s">
        <v>210</v>
      </c>
      <c r="F199" s="3" t="str">
        <f t="shared" si="0"/>
        <v>Masaje90minPrenatalSUR</v>
      </c>
      <c r="G199" s="1">
        <v>63000</v>
      </c>
      <c r="H199" s="1">
        <v>31765</v>
      </c>
    </row>
    <row r="200" spans="1:8" ht="14.25" customHeight="1">
      <c r="A200" s="3" t="s">
        <v>82</v>
      </c>
      <c r="B200" s="3" t="s">
        <v>119</v>
      </c>
      <c r="C200" s="3" t="s">
        <v>120</v>
      </c>
      <c r="D200" s="3" t="s">
        <v>100</v>
      </c>
      <c r="E200" s="3" t="s">
        <v>210</v>
      </c>
      <c r="F200" s="3" t="str">
        <f t="shared" si="0"/>
        <v>Masaje120minPrenatalSUR</v>
      </c>
      <c r="G200" s="1">
        <v>76000</v>
      </c>
      <c r="H200" s="1">
        <v>38319</v>
      </c>
    </row>
    <row r="201" spans="1:8" ht="14.25" customHeight="1">
      <c r="A201" s="3" t="s">
        <v>82</v>
      </c>
      <c r="B201" s="3" t="s">
        <v>119</v>
      </c>
      <c r="C201" s="3" t="s">
        <v>84</v>
      </c>
      <c r="D201" s="3" t="s">
        <v>123</v>
      </c>
      <c r="E201" s="3" t="s">
        <v>210</v>
      </c>
      <c r="F201" s="3" t="str">
        <f t="shared" si="0"/>
        <v>Masaje60minTejido profundoSUR</v>
      </c>
      <c r="G201" s="1">
        <v>45000</v>
      </c>
      <c r="H201" s="1">
        <v>22689.0756302521</v>
      </c>
    </row>
    <row r="202" spans="1:8" ht="14.25" customHeight="1">
      <c r="A202" s="3" t="s">
        <v>82</v>
      </c>
      <c r="B202" s="3" t="s">
        <v>119</v>
      </c>
      <c r="C202" s="3" t="s">
        <v>146</v>
      </c>
      <c r="D202" s="3" t="s">
        <v>123</v>
      </c>
      <c r="E202" s="3" t="s">
        <v>210</v>
      </c>
      <c r="F202" s="3" t="str">
        <f t="shared" si="0"/>
        <v>Masaje90minTejido profundoSUR</v>
      </c>
      <c r="G202" s="1">
        <v>63000</v>
      </c>
      <c r="H202" s="1">
        <v>31765</v>
      </c>
    </row>
    <row r="203" spans="1:8" ht="14.25" customHeight="1">
      <c r="A203" s="3" t="s">
        <v>82</v>
      </c>
      <c r="B203" s="3" t="s">
        <v>119</v>
      </c>
      <c r="C203" s="3" t="s">
        <v>120</v>
      </c>
      <c r="D203" s="3" t="s">
        <v>123</v>
      </c>
      <c r="E203" s="3" t="s">
        <v>210</v>
      </c>
      <c r="F203" s="3" t="str">
        <f t="shared" si="0"/>
        <v>Masaje120minTejido profundoSUR</v>
      </c>
      <c r="G203" s="1">
        <v>76000</v>
      </c>
      <c r="H203" s="1">
        <v>38319.327731092439</v>
      </c>
    </row>
    <row r="204" spans="1:8" ht="14.25" customHeight="1">
      <c r="A204" s="3" t="s">
        <v>82</v>
      </c>
      <c r="B204" s="3" t="s">
        <v>119</v>
      </c>
      <c r="C204" s="3" t="s">
        <v>84</v>
      </c>
      <c r="D204" s="3" t="s">
        <v>150</v>
      </c>
      <c r="E204" s="3" t="s">
        <v>210</v>
      </c>
      <c r="F204" s="3" t="str">
        <f t="shared" si="0"/>
        <v>Masaje60minDeportivoSUR</v>
      </c>
      <c r="G204" s="1">
        <v>45000</v>
      </c>
      <c r="H204" s="1">
        <v>22689.0756302521</v>
      </c>
    </row>
    <row r="205" spans="1:8" ht="14.25" customHeight="1">
      <c r="A205" s="3" t="s">
        <v>82</v>
      </c>
      <c r="B205" s="3" t="s">
        <v>119</v>
      </c>
      <c r="C205" s="3" t="s">
        <v>146</v>
      </c>
      <c r="D205" s="3" t="s">
        <v>150</v>
      </c>
      <c r="E205" s="3" t="s">
        <v>210</v>
      </c>
      <c r="F205" s="3" t="str">
        <f t="shared" si="0"/>
        <v>Masaje90minDeportivoSUR</v>
      </c>
      <c r="G205" s="1">
        <v>63000</v>
      </c>
      <c r="H205" s="1">
        <v>31765</v>
      </c>
    </row>
    <row r="206" spans="1:8" ht="14.25" customHeight="1">
      <c r="A206" s="3" t="s">
        <v>82</v>
      </c>
      <c r="B206" s="3" t="s">
        <v>119</v>
      </c>
      <c r="C206" s="3" t="s">
        <v>120</v>
      </c>
      <c r="D206" s="3" t="s">
        <v>150</v>
      </c>
      <c r="E206" s="3" t="s">
        <v>210</v>
      </c>
      <c r="F206" s="3" t="str">
        <f t="shared" si="0"/>
        <v>Masaje120minDeportivoSUR</v>
      </c>
      <c r="G206" s="1">
        <v>76000</v>
      </c>
      <c r="H206" s="1">
        <v>38319.327731092439</v>
      </c>
    </row>
    <row r="207" spans="1:8" ht="14.25" customHeight="1">
      <c r="A207" s="3" t="s">
        <v>137</v>
      </c>
      <c r="B207" s="3" t="s">
        <v>83</v>
      </c>
      <c r="C207" s="3" t="s">
        <v>84</v>
      </c>
      <c r="D207" s="3" t="s">
        <v>138</v>
      </c>
      <c r="E207" s="3" t="s">
        <v>210</v>
      </c>
      <c r="F207" s="3" t="str">
        <f t="shared" si="0"/>
        <v>Facial60minHidratación ProfundaSUR</v>
      </c>
      <c r="G207" s="1">
        <v>60000</v>
      </c>
      <c r="H207" s="1">
        <v>30252</v>
      </c>
    </row>
    <row r="208" spans="1:8" ht="14.25" customHeight="1">
      <c r="A208" s="3" t="s">
        <v>137</v>
      </c>
      <c r="B208" s="3" t="s">
        <v>83</v>
      </c>
      <c r="C208" s="3" t="s">
        <v>84</v>
      </c>
      <c r="D208" s="3" t="s">
        <v>200</v>
      </c>
      <c r="E208" s="3" t="s">
        <v>210</v>
      </c>
      <c r="F208" s="3" t="str">
        <f t="shared" si="0"/>
        <v>Facial60minLimpieza ProfundaSUR</v>
      </c>
      <c r="G208" s="1">
        <v>60000</v>
      </c>
      <c r="H208" s="1">
        <v>30252</v>
      </c>
    </row>
    <row r="209" spans="1:8" ht="14.25" customHeight="1">
      <c r="A209" s="3" t="s">
        <v>137</v>
      </c>
      <c r="B209" s="3" t="s">
        <v>83</v>
      </c>
      <c r="C209" s="3" t="s">
        <v>84</v>
      </c>
      <c r="D209" s="3" t="s">
        <v>201</v>
      </c>
      <c r="E209" s="3" t="s">
        <v>210</v>
      </c>
      <c r="F209" s="3" t="str">
        <f t="shared" si="0"/>
        <v>Facial60minTeen GermaineSUR</v>
      </c>
      <c r="G209" s="1">
        <v>60000</v>
      </c>
      <c r="H209" s="1">
        <v>30252</v>
      </c>
    </row>
    <row r="210" spans="1:8" ht="14.25" customHeight="1">
      <c r="A210" s="3" t="s">
        <v>137</v>
      </c>
      <c r="B210" s="3" t="s">
        <v>83</v>
      </c>
      <c r="C210" s="3" t="s">
        <v>84</v>
      </c>
      <c r="D210" s="3" t="s">
        <v>202</v>
      </c>
      <c r="E210" s="3" t="s">
        <v>210</v>
      </c>
      <c r="F210" s="3" t="str">
        <f t="shared" si="0"/>
        <v>Facial60minThe ultimate grooming facial FOR HIMSUR</v>
      </c>
      <c r="G210" s="1">
        <v>60000</v>
      </c>
      <c r="H210" s="1">
        <v>30252</v>
      </c>
    </row>
    <row r="211" spans="1:8" ht="14.25" customHeight="1">
      <c r="A211" s="3" t="s">
        <v>163</v>
      </c>
      <c r="B211" s="3" t="s">
        <v>83</v>
      </c>
      <c r="C211" s="3" t="s">
        <v>84</v>
      </c>
      <c r="D211" s="3" t="s">
        <v>203</v>
      </c>
      <c r="E211" s="3" t="s">
        <v>210</v>
      </c>
      <c r="F211" s="3" t="str">
        <f t="shared" si="0"/>
        <v>Facial + Masaje60minHidratación Profunda + RelajanteSUR</v>
      </c>
      <c r="G211" s="1">
        <v>95000</v>
      </c>
      <c r="H211" s="1">
        <v>47889</v>
      </c>
    </row>
    <row r="212" spans="1:8" ht="14.25" customHeight="1">
      <c r="A212" s="3" t="s">
        <v>163</v>
      </c>
      <c r="B212" s="3" t="s">
        <v>83</v>
      </c>
      <c r="C212" s="3" t="s">
        <v>84</v>
      </c>
      <c r="D212" s="3" t="s">
        <v>204</v>
      </c>
      <c r="E212" s="3" t="s">
        <v>210</v>
      </c>
      <c r="F212" s="3" t="str">
        <f t="shared" si="0"/>
        <v>Facial + Masaje60minHidratación Profunda + PrenatalSUR</v>
      </c>
      <c r="G212" s="1">
        <v>95000</v>
      </c>
      <c r="H212" s="1">
        <v>47889</v>
      </c>
    </row>
    <row r="213" spans="1:8" ht="14.25" customHeight="1">
      <c r="A213" s="3" t="s">
        <v>163</v>
      </c>
      <c r="B213" s="3" t="s">
        <v>83</v>
      </c>
      <c r="C213" s="3" t="s">
        <v>84</v>
      </c>
      <c r="D213" s="3" t="s">
        <v>205</v>
      </c>
      <c r="E213" s="3" t="s">
        <v>210</v>
      </c>
      <c r="F213" s="3" t="str">
        <f t="shared" si="0"/>
        <v>Facial + Masaje60minHidratación Profunda + Tejido profundoSUR</v>
      </c>
      <c r="G213" s="1">
        <v>95000</v>
      </c>
      <c r="H213" s="1">
        <v>47889</v>
      </c>
    </row>
    <row r="214" spans="1:8" ht="14.25" customHeight="1">
      <c r="A214" s="3" t="s">
        <v>163</v>
      </c>
      <c r="B214" s="3" t="s">
        <v>83</v>
      </c>
      <c r="C214" s="3" t="s">
        <v>84</v>
      </c>
      <c r="D214" s="3" t="s">
        <v>206</v>
      </c>
      <c r="E214" s="3" t="s">
        <v>210</v>
      </c>
      <c r="F214" s="3" t="str">
        <f t="shared" si="0"/>
        <v>Facial + Masaje60minHidratación Profunda + DeportivoSUR</v>
      </c>
      <c r="G214" s="1">
        <v>95000</v>
      </c>
      <c r="H214" s="1">
        <v>47889</v>
      </c>
    </row>
    <row r="215" spans="1:8" ht="14.25" customHeight="1">
      <c r="A215" s="3" t="s">
        <v>163</v>
      </c>
      <c r="B215" s="3" t="s">
        <v>83</v>
      </c>
      <c r="C215" s="3" t="s">
        <v>146</v>
      </c>
      <c r="D215" s="3" t="s">
        <v>222</v>
      </c>
      <c r="E215" s="3" t="s">
        <v>210</v>
      </c>
      <c r="F215" s="3" t="str">
        <f t="shared" si="0"/>
        <v>Facial + Masaje90minHidratación Profunda + Relajante 90 MINSUR</v>
      </c>
      <c r="G215" s="1">
        <v>115000</v>
      </c>
      <c r="H215" s="1">
        <v>57983</v>
      </c>
    </row>
    <row r="216" spans="1:8" ht="14.25" customHeight="1">
      <c r="A216" s="3" t="s">
        <v>163</v>
      </c>
      <c r="B216" s="3" t="s">
        <v>83</v>
      </c>
      <c r="C216" s="3" t="s">
        <v>146</v>
      </c>
      <c r="D216" s="3" t="s">
        <v>223</v>
      </c>
      <c r="E216" s="3" t="s">
        <v>210</v>
      </c>
      <c r="F216" s="3" t="str">
        <f t="shared" si="0"/>
        <v>Facial + Masaje90minHidratación Profunda + Prenatal 90 MINSUR</v>
      </c>
      <c r="G216" s="1">
        <v>115000</v>
      </c>
      <c r="H216" s="1">
        <v>57983</v>
      </c>
    </row>
    <row r="217" spans="1:8" ht="14.25" customHeight="1">
      <c r="A217" s="3" t="s">
        <v>163</v>
      </c>
      <c r="B217" s="3" t="s">
        <v>83</v>
      </c>
      <c r="C217" s="3" t="s">
        <v>146</v>
      </c>
      <c r="D217" s="3" t="s">
        <v>224</v>
      </c>
      <c r="E217" s="3" t="s">
        <v>210</v>
      </c>
      <c r="F217" s="3" t="str">
        <f t="shared" si="0"/>
        <v>Facial + Masaje90minHidratación Profunda + Tejido profundo 90 MINSUR</v>
      </c>
      <c r="G217" s="1">
        <v>115000</v>
      </c>
      <c r="H217" s="1">
        <v>57983</v>
      </c>
    </row>
    <row r="218" spans="1:8" ht="14.25" customHeight="1">
      <c r="A218" s="3" t="s">
        <v>163</v>
      </c>
      <c r="B218" s="3" t="s">
        <v>83</v>
      </c>
      <c r="C218" s="3" t="s">
        <v>146</v>
      </c>
      <c r="D218" s="3" t="s">
        <v>225</v>
      </c>
      <c r="E218" s="3" t="s">
        <v>210</v>
      </c>
      <c r="F218" s="3" t="str">
        <f t="shared" si="0"/>
        <v>Facial + Masaje90minHidratación Profunda + Deportivo 90 MINSUR</v>
      </c>
      <c r="G218" s="1">
        <v>115000</v>
      </c>
      <c r="H218" s="1">
        <v>57983</v>
      </c>
    </row>
    <row r="219" spans="1:8" ht="14.25" customHeight="1">
      <c r="A219" s="3" t="s">
        <v>163</v>
      </c>
      <c r="B219" s="3" t="s">
        <v>83</v>
      </c>
      <c r="C219" s="3" t="s">
        <v>84</v>
      </c>
      <c r="D219" s="3" t="s">
        <v>241</v>
      </c>
      <c r="E219" s="3" t="s">
        <v>210</v>
      </c>
      <c r="F219" s="3" t="str">
        <f t="shared" si="0"/>
        <v>Facial + Masaje60minLimpieza Profunda + PrenatalSUR</v>
      </c>
      <c r="G219" s="1">
        <v>95000</v>
      </c>
      <c r="H219" s="1">
        <v>47889</v>
      </c>
    </row>
    <row r="220" spans="1:8" ht="14.25" customHeight="1">
      <c r="A220" s="3" t="s">
        <v>163</v>
      </c>
      <c r="B220" s="3" t="s">
        <v>83</v>
      </c>
      <c r="C220" s="3" t="s">
        <v>84</v>
      </c>
      <c r="D220" s="3" t="s">
        <v>241</v>
      </c>
      <c r="E220" s="3" t="s">
        <v>211</v>
      </c>
      <c r="F220" s="3" t="str">
        <f t="shared" si="0"/>
        <v>Facial + Masaje60minLimpieza Profunda + PrenatalZONA COSTA</v>
      </c>
      <c r="G220" s="1">
        <v>95000</v>
      </c>
      <c r="H220" s="1">
        <v>47889</v>
      </c>
    </row>
    <row r="221" spans="1:8" ht="14.25" customHeight="1">
      <c r="A221" s="3" t="s">
        <v>163</v>
      </c>
      <c r="B221" s="3" t="s">
        <v>83</v>
      </c>
      <c r="C221" s="3" t="s">
        <v>84</v>
      </c>
      <c r="D221" s="3" t="s">
        <v>241</v>
      </c>
      <c r="E221" s="3" t="s">
        <v>108</v>
      </c>
      <c r="F221" s="3" t="str">
        <f t="shared" si="0"/>
        <v>Facial + Masaje60minLimpieza Profunda + PrenatalLO BARNECHEA</v>
      </c>
      <c r="G221" s="1">
        <v>95000</v>
      </c>
      <c r="H221" s="1">
        <v>47889</v>
      </c>
    </row>
    <row r="222" spans="1:8" ht="14.25" customHeight="1">
      <c r="A222" s="3" t="s">
        <v>163</v>
      </c>
      <c r="B222" s="3" t="s">
        <v>83</v>
      </c>
      <c r="C222" s="3" t="s">
        <v>84</v>
      </c>
      <c r="D222" s="3" t="s">
        <v>241</v>
      </c>
      <c r="E222" s="3" t="s">
        <v>101</v>
      </c>
      <c r="F222" s="3" t="str">
        <f t="shared" si="0"/>
        <v>Facial + Masaje60minLimpieza Profunda + PrenatalCOLINA</v>
      </c>
      <c r="G222" s="1">
        <v>95000</v>
      </c>
      <c r="H222" s="1">
        <v>47889</v>
      </c>
    </row>
    <row r="223" spans="1:8" ht="14.25" customHeight="1">
      <c r="A223" s="3" t="s">
        <v>163</v>
      </c>
      <c r="B223" s="3" t="s">
        <v>83</v>
      </c>
      <c r="C223" s="3" t="s">
        <v>146</v>
      </c>
      <c r="D223" s="3" t="s">
        <v>241</v>
      </c>
      <c r="E223" s="3" t="s">
        <v>199</v>
      </c>
      <c r="F223" s="3" t="str">
        <f t="shared" si="0"/>
        <v>Facial + Masaje90minLimpieza Profunda + PrenatalORIENTE</v>
      </c>
      <c r="G223" s="1">
        <v>115000</v>
      </c>
      <c r="H223" s="1">
        <v>57983</v>
      </c>
    </row>
    <row r="224" spans="1:8" ht="14.25" customHeight="1">
      <c r="A224" s="3" t="s">
        <v>163</v>
      </c>
      <c r="B224" s="3" t="s">
        <v>83</v>
      </c>
      <c r="C224" s="3" t="s">
        <v>146</v>
      </c>
      <c r="D224" s="3" t="s">
        <v>242</v>
      </c>
      <c r="E224" s="3" t="s">
        <v>208</v>
      </c>
      <c r="F224" s="3" t="str">
        <f t="shared" si="0"/>
        <v>Facial + Masaje90minLimpieza Profunda + Prenatal 90 MINPONIENTE</v>
      </c>
      <c r="G224" s="1">
        <v>115000</v>
      </c>
      <c r="H224" s="1">
        <v>57983</v>
      </c>
    </row>
    <row r="225" spans="1:8" ht="14.25" customHeight="1">
      <c r="A225" s="3" t="s">
        <v>163</v>
      </c>
      <c r="B225" s="3" t="s">
        <v>83</v>
      </c>
      <c r="C225" s="3" t="s">
        <v>146</v>
      </c>
      <c r="D225" s="3" t="s">
        <v>242</v>
      </c>
      <c r="E225" s="3" t="s">
        <v>209</v>
      </c>
      <c r="F225" s="3" t="str">
        <f t="shared" si="0"/>
        <v>Facial + Masaje90minLimpieza Profunda + Prenatal 90 MINNORTE</v>
      </c>
      <c r="G225" s="1">
        <v>115000</v>
      </c>
      <c r="H225" s="1">
        <v>57983</v>
      </c>
    </row>
    <row r="226" spans="1:8" ht="14.25" customHeight="1">
      <c r="A226" s="3" t="s">
        <v>163</v>
      </c>
      <c r="B226" s="3" t="s">
        <v>83</v>
      </c>
      <c r="C226" s="3" t="s">
        <v>146</v>
      </c>
      <c r="D226" s="3" t="s">
        <v>242</v>
      </c>
      <c r="E226" s="3" t="s">
        <v>210</v>
      </c>
      <c r="F226" s="3" t="str">
        <f t="shared" si="0"/>
        <v>Facial + Masaje90minLimpieza Profunda + Prenatal 90 MINSUR</v>
      </c>
      <c r="G226" s="1">
        <v>115000</v>
      </c>
      <c r="H226" s="1">
        <v>57983</v>
      </c>
    </row>
    <row r="227" spans="1:8" ht="14.25" customHeight="1">
      <c r="A227" s="3" t="s">
        <v>163</v>
      </c>
      <c r="B227" s="3" t="s">
        <v>83</v>
      </c>
      <c r="C227" s="3" t="s">
        <v>84</v>
      </c>
      <c r="D227" s="3" t="s">
        <v>229</v>
      </c>
      <c r="E227" s="3" t="s">
        <v>210</v>
      </c>
      <c r="F227" s="3" t="str">
        <f t="shared" si="0"/>
        <v>Facial + Masaje60minTeen Germaine + Relajante 60 MINSUR</v>
      </c>
      <c r="G227" s="1">
        <v>95000</v>
      </c>
      <c r="H227" s="1">
        <v>47889</v>
      </c>
    </row>
    <row r="228" spans="1:8" ht="14.25" customHeight="1">
      <c r="A228" s="3" t="s">
        <v>163</v>
      </c>
      <c r="B228" s="3" t="s">
        <v>83</v>
      </c>
      <c r="C228" s="3" t="s">
        <v>84</v>
      </c>
      <c r="D228" s="3" t="s">
        <v>230</v>
      </c>
      <c r="E228" s="3" t="s">
        <v>210</v>
      </c>
      <c r="F228" s="3" t="str">
        <f t="shared" si="0"/>
        <v>Facial + Masaje60minTeen Germaine + Prenatal 60 MINSUR</v>
      </c>
      <c r="G228" s="1">
        <v>95000</v>
      </c>
      <c r="H228" s="1">
        <v>47889</v>
      </c>
    </row>
    <row r="229" spans="1:8" ht="14.25" customHeight="1">
      <c r="A229" s="3" t="s">
        <v>163</v>
      </c>
      <c r="B229" s="3" t="s">
        <v>83</v>
      </c>
      <c r="C229" s="3" t="s">
        <v>84</v>
      </c>
      <c r="D229" s="3" t="s">
        <v>231</v>
      </c>
      <c r="E229" s="3" t="s">
        <v>210</v>
      </c>
      <c r="F229" s="3" t="str">
        <f t="shared" si="0"/>
        <v>Facial + Masaje60minTeen Germaine + Tejido profundo 60 MINSUR</v>
      </c>
      <c r="G229" s="1">
        <v>95000</v>
      </c>
      <c r="H229" s="1">
        <v>47889</v>
      </c>
    </row>
    <row r="230" spans="1:8" ht="14.25" customHeight="1">
      <c r="A230" s="3" t="s">
        <v>163</v>
      </c>
      <c r="B230" s="3" t="s">
        <v>83</v>
      </c>
      <c r="C230" s="3" t="s">
        <v>84</v>
      </c>
      <c r="D230" s="3" t="s">
        <v>232</v>
      </c>
      <c r="E230" s="3" t="s">
        <v>210</v>
      </c>
      <c r="F230" s="3" t="str">
        <f t="shared" si="0"/>
        <v>Facial + Masaje60minTeen Germaine + Deportivo 60 MINSUR</v>
      </c>
      <c r="G230" s="1">
        <v>95000</v>
      </c>
      <c r="H230" s="1">
        <v>47889</v>
      </c>
    </row>
    <row r="231" spans="1:8" ht="14.25" customHeight="1">
      <c r="A231" s="3" t="s">
        <v>163</v>
      </c>
      <c r="B231" s="3" t="s">
        <v>83</v>
      </c>
      <c r="C231" s="3" t="s">
        <v>146</v>
      </c>
      <c r="D231" s="3" t="s">
        <v>233</v>
      </c>
      <c r="E231" s="3" t="s">
        <v>210</v>
      </c>
      <c r="F231" s="3" t="str">
        <f t="shared" si="0"/>
        <v>Facial + Masaje90minTeen Germaine + Relajante 90 MINSUR</v>
      </c>
      <c r="G231" s="1">
        <v>115000</v>
      </c>
      <c r="H231" s="1">
        <v>57983</v>
      </c>
    </row>
    <row r="232" spans="1:8" ht="14.25" customHeight="1">
      <c r="A232" s="3" t="s">
        <v>163</v>
      </c>
      <c r="B232" s="3" t="s">
        <v>83</v>
      </c>
      <c r="C232" s="3" t="s">
        <v>146</v>
      </c>
      <c r="D232" s="3" t="s">
        <v>234</v>
      </c>
      <c r="E232" s="3" t="s">
        <v>210</v>
      </c>
      <c r="F232" s="3" t="str">
        <f t="shared" si="0"/>
        <v>Facial + Masaje90minTeen Germaine + Prenatal 90 MINSUR</v>
      </c>
      <c r="G232" s="1">
        <v>115000</v>
      </c>
      <c r="H232" s="1">
        <v>57983</v>
      </c>
    </row>
    <row r="233" spans="1:8" ht="14.25" customHeight="1">
      <c r="A233" s="3" t="s">
        <v>163</v>
      </c>
      <c r="B233" s="3" t="s">
        <v>83</v>
      </c>
      <c r="C233" s="3" t="s">
        <v>146</v>
      </c>
      <c r="D233" s="3" t="s">
        <v>235</v>
      </c>
      <c r="E233" s="3" t="s">
        <v>210</v>
      </c>
      <c r="F233" s="3" t="str">
        <f t="shared" si="0"/>
        <v>Facial + Masaje90minTeen Germaine + Tejido profundo 90 MINSUR</v>
      </c>
      <c r="G233" s="1">
        <v>115000</v>
      </c>
      <c r="H233" s="1">
        <v>57983</v>
      </c>
    </row>
    <row r="234" spans="1:8" ht="14.25" customHeight="1">
      <c r="A234" s="3" t="s">
        <v>163</v>
      </c>
      <c r="B234" s="3" t="s">
        <v>83</v>
      </c>
      <c r="C234" s="3" t="s">
        <v>146</v>
      </c>
      <c r="D234" s="3" t="s">
        <v>236</v>
      </c>
      <c r="E234" s="3" t="s">
        <v>210</v>
      </c>
      <c r="F234" s="3" t="str">
        <f t="shared" si="0"/>
        <v>Facial + Masaje90minTeen Germaine + Deportivo 90 MINSUR</v>
      </c>
      <c r="G234" s="1">
        <v>115000</v>
      </c>
      <c r="H234" s="1">
        <v>57983</v>
      </c>
    </row>
    <row r="235" spans="1:8" ht="14.25" customHeight="1">
      <c r="A235" s="3" t="s">
        <v>163</v>
      </c>
      <c r="B235" s="3" t="s">
        <v>83</v>
      </c>
      <c r="C235" s="3" t="s">
        <v>84</v>
      </c>
      <c r="D235" s="3" t="s">
        <v>217</v>
      </c>
      <c r="E235" s="3" t="s">
        <v>210</v>
      </c>
      <c r="F235" s="3" t="str">
        <f t="shared" si="0"/>
        <v>Facial + Masaje60minFacial para él + RelajanteSUR</v>
      </c>
      <c r="G235" s="1">
        <v>95000</v>
      </c>
      <c r="H235" s="1">
        <v>47889</v>
      </c>
    </row>
    <row r="236" spans="1:8" ht="14.25" customHeight="1">
      <c r="A236" s="3" t="s">
        <v>163</v>
      </c>
      <c r="B236" s="3" t="s">
        <v>83</v>
      </c>
      <c r="C236" s="3" t="s">
        <v>84</v>
      </c>
      <c r="D236" s="3" t="s">
        <v>218</v>
      </c>
      <c r="E236" s="3" t="s">
        <v>210</v>
      </c>
      <c r="F236" s="3" t="str">
        <f t="shared" si="0"/>
        <v>Facial + Masaje60minFacial para él  + PrenatalSUR</v>
      </c>
      <c r="G236" s="1">
        <v>95000</v>
      </c>
      <c r="H236" s="1">
        <v>47889</v>
      </c>
    </row>
    <row r="237" spans="1:8" ht="14.25" customHeight="1">
      <c r="A237" s="3" t="s">
        <v>163</v>
      </c>
      <c r="B237" s="3" t="s">
        <v>83</v>
      </c>
      <c r="C237" s="3" t="s">
        <v>84</v>
      </c>
      <c r="D237" s="3" t="s">
        <v>219</v>
      </c>
      <c r="E237" s="3" t="s">
        <v>210</v>
      </c>
      <c r="F237" s="3" t="str">
        <f t="shared" si="0"/>
        <v>Facial + Masaje60minFacial para él + Tejido profundoSUR</v>
      </c>
      <c r="G237" s="1">
        <v>95000</v>
      </c>
      <c r="H237" s="1">
        <v>47889</v>
      </c>
    </row>
    <row r="238" spans="1:8" ht="14.25" customHeight="1">
      <c r="A238" s="3" t="s">
        <v>163</v>
      </c>
      <c r="B238" s="3" t="s">
        <v>83</v>
      </c>
      <c r="C238" s="3" t="s">
        <v>84</v>
      </c>
      <c r="D238" s="3" t="s">
        <v>220</v>
      </c>
      <c r="E238" s="3" t="s">
        <v>210</v>
      </c>
      <c r="F238" s="3" t="str">
        <f t="shared" si="0"/>
        <v>Facial + Masaje60minFacial para él  + DeportivoSUR</v>
      </c>
      <c r="G238" s="1">
        <v>95000</v>
      </c>
      <c r="H238" s="1">
        <v>47889</v>
      </c>
    </row>
    <row r="239" spans="1:8" ht="14.25" customHeight="1">
      <c r="A239" s="3" t="s">
        <v>163</v>
      </c>
      <c r="B239" s="3" t="s">
        <v>83</v>
      </c>
      <c r="C239" s="3" t="s">
        <v>146</v>
      </c>
      <c r="D239" s="3" t="s">
        <v>237</v>
      </c>
      <c r="E239" s="3" t="s">
        <v>210</v>
      </c>
      <c r="F239" s="3" t="str">
        <f t="shared" si="0"/>
        <v>Facial + Masaje90minFacial para él  + Relajante 90 MINSUR</v>
      </c>
      <c r="G239" s="1">
        <v>115000</v>
      </c>
      <c r="H239" s="1">
        <v>57983</v>
      </c>
    </row>
    <row r="240" spans="1:8" ht="14.25" customHeight="1">
      <c r="A240" s="3" t="s">
        <v>163</v>
      </c>
      <c r="B240" s="3" t="s">
        <v>83</v>
      </c>
      <c r="C240" s="3" t="s">
        <v>146</v>
      </c>
      <c r="D240" s="3" t="s">
        <v>238</v>
      </c>
      <c r="E240" s="3" t="s">
        <v>210</v>
      </c>
      <c r="F240" s="3" t="str">
        <f t="shared" si="0"/>
        <v>Facial + Masaje90minFacial para él  + Prenatal 90 MINSUR</v>
      </c>
      <c r="G240" s="1">
        <v>115000</v>
      </c>
      <c r="H240" s="1">
        <v>57983</v>
      </c>
    </row>
    <row r="241" spans="1:8" ht="14.25" customHeight="1">
      <c r="A241" s="3" t="s">
        <v>163</v>
      </c>
      <c r="B241" s="3" t="s">
        <v>83</v>
      </c>
      <c r="C241" s="3" t="s">
        <v>146</v>
      </c>
      <c r="D241" s="3" t="s">
        <v>239</v>
      </c>
      <c r="E241" s="3" t="s">
        <v>210</v>
      </c>
      <c r="F241" s="3" t="str">
        <f t="shared" si="0"/>
        <v>Facial + Masaje90minFacial para él  + Tejido profundo 90 MINSUR</v>
      </c>
      <c r="G241" s="1">
        <v>115000</v>
      </c>
      <c r="H241" s="1">
        <v>57983</v>
      </c>
    </row>
    <row r="242" spans="1:8" ht="14.25" customHeight="1">
      <c r="A242" s="3" t="s">
        <v>163</v>
      </c>
      <c r="B242" s="3" t="s">
        <v>83</v>
      </c>
      <c r="C242" s="3" t="s">
        <v>146</v>
      </c>
      <c r="D242" s="3" t="s">
        <v>240</v>
      </c>
      <c r="E242" s="3" t="s">
        <v>210</v>
      </c>
      <c r="F242" s="3" t="str">
        <f t="shared" si="0"/>
        <v>Facial + Masaje90minFacial para él  + Deportivo 90 MINSUR</v>
      </c>
      <c r="G242" s="1">
        <v>115000</v>
      </c>
      <c r="H242" s="1">
        <v>57983</v>
      </c>
    </row>
    <row r="243" spans="1:8" ht="14.25" customHeight="1">
      <c r="A243" s="3" t="s">
        <v>82</v>
      </c>
      <c r="B243" s="3" t="s">
        <v>83</v>
      </c>
      <c r="C243" s="3" t="s">
        <v>84</v>
      </c>
      <c r="D243" s="3" t="s">
        <v>85</v>
      </c>
      <c r="E243" s="3" t="s">
        <v>211</v>
      </c>
      <c r="F243" s="3" t="str">
        <f t="shared" si="0"/>
        <v>Masaje60minRelajanteZONA COSTA</v>
      </c>
      <c r="G243" s="1">
        <v>45000</v>
      </c>
      <c r="H243" s="1">
        <v>22689</v>
      </c>
    </row>
    <row r="244" spans="1:8" ht="14.25" customHeight="1">
      <c r="A244" s="3" t="s">
        <v>82</v>
      </c>
      <c r="B244" s="3" t="s">
        <v>83</v>
      </c>
      <c r="C244" s="3" t="s">
        <v>146</v>
      </c>
      <c r="D244" s="3" t="s">
        <v>85</v>
      </c>
      <c r="E244" s="3" t="s">
        <v>211</v>
      </c>
      <c r="F244" s="3" t="str">
        <f t="shared" si="0"/>
        <v>Masaje90minRelajanteZONA COSTA</v>
      </c>
      <c r="G244" s="1">
        <v>63000</v>
      </c>
      <c r="H244" s="1">
        <v>31765</v>
      </c>
    </row>
    <row r="245" spans="1:8" ht="14.25" customHeight="1">
      <c r="A245" s="3" t="s">
        <v>82</v>
      </c>
      <c r="B245" s="3" t="s">
        <v>83</v>
      </c>
      <c r="C245" s="3" t="s">
        <v>120</v>
      </c>
      <c r="D245" s="3" t="s">
        <v>85</v>
      </c>
      <c r="E245" s="3" t="s">
        <v>211</v>
      </c>
      <c r="F245" s="3" t="str">
        <f t="shared" si="0"/>
        <v>Masaje120minRelajanteZONA COSTA</v>
      </c>
      <c r="G245" s="1">
        <v>76000</v>
      </c>
      <c r="H245" s="1">
        <v>38319</v>
      </c>
    </row>
    <row r="246" spans="1:8" ht="14.25" customHeight="1">
      <c r="A246" s="3" t="s">
        <v>82</v>
      </c>
      <c r="B246" s="3" t="s">
        <v>83</v>
      </c>
      <c r="C246" s="3" t="s">
        <v>84</v>
      </c>
      <c r="D246" s="3" t="s">
        <v>100</v>
      </c>
      <c r="E246" s="3" t="s">
        <v>211</v>
      </c>
      <c r="F246" s="3" t="str">
        <f t="shared" si="0"/>
        <v>Masaje60minPrenatalZONA COSTA</v>
      </c>
      <c r="G246" s="1">
        <v>45000</v>
      </c>
      <c r="H246" s="1">
        <v>22689</v>
      </c>
    </row>
    <row r="247" spans="1:8" ht="14.25" customHeight="1">
      <c r="A247" s="3" t="s">
        <v>82</v>
      </c>
      <c r="B247" s="3" t="s">
        <v>83</v>
      </c>
      <c r="C247" s="3" t="s">
        <v>146</v>
      </c>
      <c r="D247" s="3" t="s">
        <v>100</v>
      </c>
      <c r="E247" s="3" t="s">
        <v>211</v>
      </c>
      <c r="F247" s="3" t="str">
        <f t="shared" si="0"/>
        <v>Masaje90minPrenatalZONA COSTA</v>
      </c>
      <c r="G247" s="1">
        <v>63000</v>
      </c>
      <c r="H247" s="1">
        <v>31765</v>
      </c>
    </row>
    <row r="248" spans="1:8" ht="14.25" customHeight="1">
      <c r="A248" s="3" t="s">
        <v>82</v>
      </c>
      <c r="B248" s="3" t="s">
        <v>83</v>
      </c>
      <c r="C248" s="3" t="s">
        <v>120</v>
      </c>
      <c r="D248" s="3" t="s">
        <v>100</v>
      </c>
      <c r="E248" s="3" t="s">
        <v>211</v>
      </c>
      <c r="F248" s="3" t="str">
        <f t="shared" si="0"/>
        <v>Masaje120minPrenatalZONA COSTA</v>
      </c>
      <c r="G248" s="1">
        <v>76000</v>
      </c>
      <c r="H248" s="1">
        <v>38319</v>
      </c>
    </row>
    <row r="249" spans="1:8" ht="14.25" customHeight="1">
      <c r="A249" s="3" t="s">
        <v>82</v>
      </c>
      <c r="B249" s="3" t="s">
        <v>83</v>
      </c>
      <c r="C249" s="3" t="s">
        <v>84</v>
      </c>
      <c r="D249" s="3" t="s">
        <v>123</v>
      </c>
      <c r="E249" s="3" t="s">
        <v>211</v>
      </c>
      <c r="F249" s="3" t="str">
        <f t="shared" si="0"/>
        <v>Masaje60minTejido profundoZONA COSTA</v>
      </c>
      <c r="G249" s="1">
        <v>45000</v>
      </c>
      <c r="H249" s="1">
        <v>22689.0756302521</v>
      </c>
    </row>
    <row r="250" spans="1:8" ht="14.25" customHeight="1">
      <c r="A250" s="3" t="s">
        <v>82</v>
      </c>
      <c r="B250" s="3" t="s">
        <v>83</v>
      </c>
      <c r="C250" s="3" t="s">
        <v>146</v>
      </c>
      <c r="D250" s="3" t="s">
        <v>123</v>
      </c>
      <c r="E250" s="3" t="s">
        <v>211</v>
      </c>
      <c r="F250" s="3" t="str">
        <f t="shared" si="0"/>
        <v>Masaje90minTejido profundoZONA COSTA</v>
      </c>
      <c r="G250" s="1">
        <v>63000</v>
      </c>
      <c r="H250" s="1">
        <v>31765</v>
      </c>
    </row>
    <row r="251" spans="1:8" ht="14.25" customHeight="1">
      <c r="A251" s="3" t="s">
        <v>82</v>
      </c>
      <c r="B251" s="3" t="s">
        <v>83</v>
      </c>
      <c r="C251" s="3" t="s">
        <v>120</v>
      </c>
      <c r="D251" s="3" t="s">
        <v>123</v>
      </c>
      <c r="E251" s="3" t="s">
        <v>211</v>
      </c>
      <c r="F251" s="3" t="str">
        <f t="shared" si="0"/>
        <v>Masaje120minTejido profundoZONA COSTA</v>
      </c>
      <c r="G251" s="1">
        <v>76000</v>
      </c>
      <c r="H251" s="1">
        <v>38319.327731092439</v>
      </c>
    </row>
    <row r="252" spans="1:8" ht="14.25" customHeight="1">
      <c r="A252" s="3" t="s">
        <v>82</v>
      </c>
      <c r="B252" s="3" t="s">
        <v>83</v>
      </c>
      <c r="C252" s="3" t="s">
        <v>84</v>
      </c>
      <c r="D252" s="3" t="s">
        <v>150</v>
      </c>
      <c r="E252" s="3" t="s">
        <v>211</v>
      </c>
      <c r="F252" s="3" t="str">
        <f t="shared" si="0"/>
        <v>Masaje60minDeportivoZONA COSTA</v>
      </c>
      <c r="G252" s="1">
        <v>45000</v>
      </c>
      <c r="H252" s="1">
        <v>22689.0756302521</v>
      </c>
    </row>
    <row r="253" spans="1:8" ht="14.25" customHeight="1">
      <c r="A253" s="3" t="s">
        <v>82</v>
      </c>
      <c r="B253" s="3" t="s">
        <v>83</v>
      </c>
      <c r="C253" s="3" t="s">
        <v>146</v>
      </c>
      <c r="D253" s="3" t="s">
        <v>150</v>
      </c>
      <c r="E253" s="3" t="s">
        <v>211</v>
      </c>
      <c r="F253" s="3" t="str">
        <f t="shared" si="0"/>
        <v>Masaje90minDeportivoZONA COSTA</v>
      </c>
      <c r="G253" s="1">
        <v>63000</v>
      </c>
      <c r="H253" s="1">
        <v>31765</v>
      </c>
    </row>
    <row r="254" spans="1:8" ht="14.25" customHeight="1">
      <c r="A254" s="3" t="s">
        <v>82</v>
      </c>
      <c r="B254" s="3" t="s">
        <v>83</v>
      </c>
      <c r="C254" s="3" t="s">
        <v>120</v>
      </c>
      <c r="D254" s="3" t="s">
        <v>150</v>
      </c>
      <c r="E254" s="3" t="s">
        <v>211</v>
      </c>
      <c r="F254" s="3" t="str">
        <f t="shared" si="0"/>
        <v>Masaje120minDeportivoZONA COSTA</v>
      </c>
      <c r="G254" s="1">
        <v>76000</v>
      </c>
      <c r="H254" s="1">
        <v>38319.327731092439</v>
      </c>
    </row>
    <row r="255" spans="1:8" ht="14.25" customHeight="1">
      <c r="A255" s="3" t="s">
        <v>82</v>
      </c>
      <c r="B255" s="3" t="s">
        <v>119</v>
      </c>
      <c r="C255" s="3" t="s">
        <v>84</v>
      </c>
      <c r="D255" s="3" t="s">
        <v>85</v>
      </c>
      <c r="E255" s="3" t="s">
        <v>211</v>
      </c>
      <c r="F255" s="3" t="str">
        <f t="shared" si="0"/>
        <v>Masaje60minRelajanteZONA COSTA</v>
      </c>
      <c r="G255" s="1">
        <v>45000</v>
      </c>
      <c r="H255" s="1">
        <v>22689</v>
      </c>
    </row>
    <row r="256" spans="1:8" ht="14.25" customHeight="1">
      <c r="A256" s="3" t="s">
        <v>82</v>
      </c>
      <c r="B256" s="3" t="s">
        <v>119</v>
      </c>
      <c r="C256" s="3" t="s">
        <v>146</v>
      </c>
      <c r="D256" s="3" t="s">
        <v>85</v>
      </c>
      <c r="E256" s="3" t="s">
        <v>211</v>
      </c>
      <c r="F256" s="3" t="str">
        <f t="shared" si="0"/>
        <v>Masaje90minRelajanteZONA COSTA</v>
      </c>
      <c r="G256" s="1">
        <v>63000</v>
      </c>
      <c r="H256" s="1">
        <v>31765</v>
      </c>
    </row>
    <row r="257" spans="1:8" ht="14.25" customHeight="1">
      <c r="A257" s="3" t="s">
        <v>82</v>
      </c>
      <c r="B257" s="3" t="s">
        <v>119</v>
      </c>
      <c r="C257" s="3" t="s">
        <v>120</v>
      </c>
      <c r="D257" s="3" t="s">
        <v>85</v>
      </c>
      <c r="E257" s="3" t="s">
        <v>211</v>
      </c>
      <c r="F257" s="3" t="str">
        <f t="shared" si="0"/>
        <v>Masaje120minRelajanteZONA COSTA</v>
      </c>
      <c r="G257" s="1">
        <v>76000</v>
      </c>
      <c r="H257" s="1">
        <v>38319</v>
      </c>
    </row>
    <row r="258" spans="1:8" ht="14.25" customHeight="1">
      <c r="A258" s="3" t="s">
        <v>82</v>
      </c>
      <c r="B258" s="3" t="s">
        <v>119</v>
      </c>
      <c r="C258" s="3" t="s">
        <v>84</v>
      </c>
      <c r="D258" s="3" t="s">
        <v>100</v>
      </c>
      <c r="E258" s="3" t="s">
        <v>211</v>
      </c>
      <c r="F258" s="3" t="str">
        <f t="shared" ref="F258:F512" si="1">+A258&amp;C258&amp;D258&amp;E258</f>
        <v>Masaje60minPrenatalZONA COSTA</v>
      </c>
      <c r="G258" s="1">
        <v>45000</v>
      </c>
      <c r="H258" s="1">
        <v>22689</v>
      </c>
    </row>
    <row r="259" spans="1:8" ht="14.25" customHeight="1">
      <c r="A259" s="3" t="s">
        <v>82</v>
      </c>
      <c r="B259" s="3" t="s">
        <v>119</v>
      </c>
      <c r="C259" s="3" t="s">
        <v>146</v>
      </c>
      <c r="D259" s="3" t="s">
        <v>100</v>
      </c>
      <c r="E259" s="3" t="s">
        <v>211</v>
      </c>
      <c r="F259" s="3" t="str">
        <f t="shared" si="1"/>
        <v>Masaje90minPrenatalZONA COSTA</v>
      </c>
      <c r="G259" s="1">
        <v>63000</v>
      </c>
      <c r="H259" s="1">
        <v>31765</v>
      </c>
    </row>
    <row r="260" spans="1:8" ht="14.25" customHeight="1">
      <c r="A260" s="3" t="s">
        <v>82</v>
      </c>
      <c r="B260" s="3" t="s">
        <v>119</v>
      </c>
      <c r="C260" s="3" t="s">
        <v>120</v>
      </c>
      <c r="D260" s="3" t="s">
        <v>100</v>
      </c>
      <c r="E260" s="3" t="s">
        <v>211</v>
      </c>
      <c r="F260" s="3" t="str">
        <f t="shared" si="1"/>
        <v>Masaje120minPrenatalZONA COSTA</v>
      </c>
      <c r="G260" s="1">
        <v>76000</v>
      </c>
      <c r="H260" s="1">
        <v>38319</v>
      </c>
    </row>
    <row r="261" spans="1:8" ht="14.25" customHeight="1">
      <c r="A261" s="3" t="s">
        <v>82</v>
      </c>
      <c r="B261" s="3" t="s">
        <v>119</v>
      </c>
      <c r="C261" s="3" t="s">
        <v>84</v>
      </c>
      <c r="D261" s="3" t="s">
        <v>123</v>
      </c>
      <c r="E261" s="3" t="s">
        <v>211</v>
      </c>
      <c r="F261" s="3" t="str">
        <f t="shared" si="1"/>
        <v>Masaje60minTejido profundoZONA COSTA</v>
      </c>
      <c r="G261" s="1">
        <v>45000</v>
      </c>
      <c r="H261" s="1">
        <v>22689.0756302521</v>
      </c>
    </row>
    <row r="262" spans="1:8" ht="14.25" customHeight="1">
      <c r="A262" s="3" t="s">
        <v>82</v>
      </c>
      <c r="B262" s="3" t="s">
        <v>119</v>
      </c>
      <c r="C262" s="3" t="s">
        <v>146</v>
      </c>
      <c r="D262" s="3" t="s">
        <v>123</v>
      </c>
      <c r="E262" s="3" t="s">
        <v>211</v>
      </c>
      <c r="F262" s="3" t="str">
        <f t="shared" si="1"/>
        <v>Masaje90minTejido profundoZONA COSTA</v>
      </c>
      <c r="G262" s="1">
        <v>63000</v>
      </c>
      <c r="H262" s="1">
        <v>31765</v>
      </c>
    </row>
    <row r="263" spans="1:8" ht="14.25" customHeight="1">
      <c r="A263" s="3" t="s">
        <v>82</v>
      </c>
      <c r="B263" s="3" t="s">
        <v>119</v>
      </c>
      <c r="C263" s="3" t="s">
        <v>120</v>
      </c>
      <c r="D263" s="3" t="s">
        <v>123</v>
      </c>
      <c r="E263" s="3" t="s">
        <v>211</v>
      </c>
      <c r="F263" s="3" t="str">
        <f t="shared" si="1"/>
        <v>Masaje120minTejido profundoZONA COSTA</v>
      </c>
      <c r="G263" s="1">
        <v>76000</v>
      </c>
      <c r="H263" s="1">
        <v>38319.327731092439</v>
      </c>
    </row>
    <row r="264" spans="1:8" ht="14.25" customHeight="1">
      <c r="A264" s="3" t="s">
        <v>82</v>
      </c>
      <c r="B264" s="3" t="s">
        <v>119</v>
      </c>
      <c r="C264" s="3" t="s">
        <v>84</v>
      </c>
      <c r="D264" s="3" t="s">
        <v>150</v>
      </c>
      <c r="E264" s="3" t="s">
        <v>211</v>
      </c>
      <c r="F264" s="3" t="str">
        <f t="shared" si="1"/>
        <v>Masaje60minDeportivoZONA COSTA</v>
      </c>
      <c r="G264" s="1">
        <v>45000</v>
      </c>
      <c r="H264" s="1">
        <v>22689.0756302521</v>
      </c>
    </row>
    <row r="265" spans="1:8" ht="14.25" customHeight="1">
      <c r="A265" s="3" t="s">
        <v>82</v>
      </c>
      <c r="B265" s="3" t="s">
        <v>119</v>
      </c>
      <c r="C265" s="3" t="s">
        <v>146</v>
      </c>
      <c r="D265" s="3" t="s">
        <v>150</v>
      </c>
      <c r="E265" s="3" t="s">
        <v>211</v>
      </c>
      <c r="F265" s="3" t="str">
        <f t="shared" si="1"/>
        <v>Masaje90minDeportivoZONA COSTA</v>
      </c>
      <c r="G265" s="1">
        <v>63000</v>
      </c>
      <c r="H265" s="1">
        <v>31765</v>
      </c>
    </row>
    <row r="266" spans="1:8" ht="14.25" customHeight="1">
      <c r="A266" s="3" t="s">
        <v>82</v>
      </c>
      <c r="B266" s="3" t="s">
        <v>119</v>
      </c>
      <c r="C266" s="3" t="s">
        <v>120</v>
      </c>
      <c r="D266" s="3" t="s">
        <v>150</v>
      </c>
      <c r="E266" s="3" t="s">
        <v>211</v>
      </c>
      <c r="F266" s="3" t="str">
        <f t="shared" si="1"/>
        <v>Masaje120minDeportivoZONA COSTA</v>
      </c>
      <c r="G266" s="1">
        <v>76000</v>
      </c>
      <c r="H266" s="1">
        <v>38319.327731092439</v>
      </c>
    </row>
    <row r="267" spans="1:8" ht="14.25" customHeight="1">
      <c r="A267" s="3" t="s">
        <v>137</v>
      </c>
      <c r="B267" s="3" t="s">
        <v>83</v>
      </c>
      <c r="C267" s="3" t="s">
        <v>84</v>
      </c>
      <c r="D267" s="3" t="s">
        <v>138</v>
      </c>
      <c r="E267" s="3" t="s">
        <v>211</v>
      </c>
      <c r="F267" s="3" t="str">
        <f t="shared" si="1"/>
        <v>Facial60minHidratación ProfundaZONA COSTA</v>
      </c>
      <c r="G267" s="1">
        <v>60000</v>
      </c>
      <c r="H267" s="1">
        <v>30252</v>
      </c>
    </row>
    <row r="268" spans="1:8" ht="14.25" customHeight="1">
      <c r="A268" s="3" t="s">
        <v>137</v>
      </c>
      <c r="B268" s="3" t="s">
        <v>83</v>
      </c>
      <c r="C268" s="3" t="s">
        <v>84</v>
      </c>
      <c r="D268" s="3" t="s">
        <v>200</v>
      </c>
      <c r="E268" s="3" t="s">
        <v>211</v>
      </c>
      <c r="F268" s="3" t="str">
        <f t="shared" si="1"/>
        <v>Facial60minLimpieza ProfundaZONA COSTA</v>
      </c>
      <c r="G268" s="1">
        <v>60000</v>
      </c>
      <c r="H268" s="1">
        <v>30252</v>
      </c>
    </row>
    <row r="269" spans="1:8" ht="14.25" customHeight="1">
      <c r="A269" s="3" t="s">
        <v>137</v>
      </c>
      <c r="B269" s="3" t="s">
        <v>83</v>
      </c>
      <c r="C269" s="3" t="s">
        <v>84</v>
      </c>
      <c r="D269" s="3" t="s">
        <v>201</v>
      </c>
      <c r="E269" s="3" t="s">
        <v>211</v>
      </c>
      <c r="F269" s="3" t="str">
        <f t="shared" si="1"/>
        <v>Facial60minTeen GermaineZONA COSTA</v>
      </c>
      <c r="G269" s="1">
        <v>60000</v>
      </c>
      <c r="H269" s="1">
        <v>30252</v>
      </c>
    </row>
    <row r="270" spans="1:8" ht="14.25" customHeight="1">
      <c r="A270" s="3" t="s">
        <v>137</v>
      </c>
      <c r="B270" s="3" t="s">
        <v>83</v>
      </c>
      <c r="C270" s="3" t="s">
        <v>84</v>
      </c>
      <c r="D270" s="3" t="s">
        <v>202</v>
      </c>
      <c r="E270" s="3" t="s">
        <v>211</v>
      </c>
      <c r="F270" s="3" t="str">
        <f t="shared" si="1"/>
        <v>Facial60minThe ultimate grooming facial FOR HIMZONA COSTA</v>
      </c>
      <c r="G270" s="1">
        <v>60000</v>
      </c>
      <c r="H270" s="1">
        <v>30252</v>
      </c>
    </row>
    <row r="271" spans="1:8" ht="14.25" customHeight="1">
      <c r="A271" s="3" t="s">
        <v>163</v>
      </c>
      <c r="B271" s="3" t="s">
        <v>83</v>
      </c>
      <c r="C271" s="3" t="s">
        <v>84</v>
      </c>
      <c r="D271" s="3" t="s">
        <v>203</v>
      </c>
      <c r="E271" s="3" t="s">
        <v>211</v>
      </c>
      <c r="F271" s="3" t="str">
        <f t="shared" si="1"/>
        <v>Facial + Masaje60minHidratación Profunda + RelajanteZONA COSTA</v>
      </c>
      <c r="G271" s="1">
        <v>95000</v>
      </c>
      <c r="H271" s="1">
        <v>47889</v>
      </c>
    </row>
    <row r="272" spans="1:8" ht="14.25" customHeight="1">
      <c r="A272" s="3" t="s">
        <v>163</v>
      </c>
      <c r="B272" s="3" t="s">
        <v>83</v>
      </c>
      <c r="C272" s="3" t="s">
        <v>84</v>
      </c>
      <c r="D272" s="3" t="s">
        <v>204</v>
      </c>
      <c r="E272" s="3" t="s">
        <v>211</v>
      </c>
      <c r="F272" s="3" t="str">
        <f t="shared" si="1"/>
        <v>Facial + Masaje60minHidratación Profunda + PrenatalZONA COSTA</v>
      </c>
      <c r="G272" s="1">
        <v>95000</v>
      </c>
      <c r="H272" s="1">
        <v>47889</v>
      </c>
    </row>
    <row r="273" spans="1:8" ht="14.25" customHeight="1">
      <c r="A273" s="3" t="s">
        <v>163</v>
      </c>
      <c r="B273" s="3" t="s">
        <v>83</v>
      </c>
      <c r="C273" s="3" t="s">
        <v>84</v>
      </c>
      <c r="D273" s="3" t="s">
        <v>205</v>
      </c>
      <c r="E273" s="3" t="s">
        <v>211</v>
      </c>
      <c r="F273" s="3" t="str">
        <f t="shared" si="1"/>
        <v>Facial + Masaje60minHidratación Profunda + Tejido profundoZONA COSTA</v>
      </c>
      <c r="G273" s="1">
        <v>95000</v>
      </c>
      <c r="H273" s="1">
        <v>47889</v>
      </c>
    </row>
    <row r="274" spans="1:8" ht="14.25" customHeight="1">
      <c r="A274" s="3" t="s">
        <v>163</v>
      </c>
      <c r="B274" s="3" t="s">
        <v>83</v>
      </c>
      <c r="C274" s="3" t="s">
        <v>84</v>
      </c>
      <c r="D274" s="3" t="s">
        <v>206</v>
      </c>
      <c r="E274" s="3" t="s">
        <v>211</v>
      </c>
      <c r="F274" s="3" t="str">
        <f t="shared" si="1"/>
        <v>Facial + Masaje60minHidratación Profunda + DeportivoZONA COSTA</v>
      </c>
      <c r="G274" s="1">
        <v>95000</v>
      </c>
      <c r="H274" s="1">
        <v>47889</v>
      </c>
    </row>
    <row r="275" spans="1:8" ht="14.25" customHeight="1">
      <c r="A275" s="3" t="s">
        <v>163</v>
      </c>
      <c r="B275" s="3" t="s">
        <v>83</v>
      </c>
      <c r="C275" s="3" t="s">
        <v>146</v>
      </c>
      <c r="D275" s="3" t="s">
        <v>222</v>
      </c>
      <c r="E275" s="3" t="s">
        <v>211</v>
      </c>
      <c r="F275" s="3" t="str">
        <f t="shared" si="1"/>
        <v>Facial + Masaje90minHidratación Profunda + Relajante 90 MINZONA COSTA</v>
      </c>
      <c r="G275" s="1">
        <v>115000</v>
      </c>
      <c r="H275" s="1">
        <v>57983</v>
      </c>
    </row>
    <row r="276" spans="1:8" ht="14.25" customHeight="1">
      <c r="A276" s="3" t="s">
        <v>163</v>
      </c>
      <c r="B276" s="3" t="s">
        <v>83</v>
      </c>
      <c r="C276" s="3" t="s">
        <v>146</v>
      </c>
      <c r="D276" s="3" t="s">
        <v>223</v>
      </c>
      <c r="E276" s="3" t="s">
        <v>211</v>
      </c>
      <c r="F276" s="3" t="str">
        <f t="shared" si="1"/>
        <v>Facial + Masaje90minHidratación Profunda + Prenatal 90 MINZONA COSTA</v>
      </c>
      <c r="G276" s="1">
        <v>115000</v>
      </c>
      <c r="H276" s="1">
        <v>57983</v>
      </c>
    </row>
    <row r="277" spans="1:8" ht="14.25" customHeight="1">
      <c r="A277" s="3" t="s">
        <v>163</v>
      </c>
      <c r="B277" s="3" t="s">
        <v>83</v>
      </c>
      <c r="C277" s="3" t="s">
        <v>146</v>
      </c>
      <c r="D277" s="3" t="s">
        <v>224</v>
      </c>
      <c r="E277" s="3" t="s">
        <v>211</v>
      </c>
      <c r="F277" s="3" t="str">
        <f t="shared" si="1"/>
        <v>Facial + Masaje90minHidratación Profunda + Tejido profundo 90 MINZONA COSTA</v>
      </c>
      <c r="G277" s="1">
        <v>115000</v>
      </c>
      <c r="H277" s="1">
        <v>57983</v>
      </c>
    </row>
    <row r="278" spans="1:8" ht="14.25" customHeight="1">
      <c r="A278" s="3" t="s">
        <v>163</v>
      </c>
      <c r="B278" s="3" t="s">
        <v>83</v>
      </c>
      <c r="C278" s="3" t="s">
        <v>146</v>
      </c>
      <c r="D278" s="3" t="s">
        <v>225</v>
      </c>
      <c r="E278" s="3" t="s">
        <v>211</v>
      </c>
      <c r="F278" s="3" t="str">
        <f t="shared" si="1"/>
        <v>Facial + Masaje90minHidratación Profunda + Deportivo 90 MINZONA COSTA</v>
      </c>
      <c r="G278" s="1">
        <v>115000</v>
      </c>
      <c r="H278" s="1">
        <v>57983</v>
      </c>
    </row>
    <row r="279" spans="1:8" ht="14.25" customHeight="1">
      <c r="A279" s="3" t="s">
        <v>163</v>
      </c>
      <c r="B279" s="3" t="s">
        <v>83</v>
      </c>
      <c r="C279" s="3" t="s">
        <v>146</v>
      </c>
      <c r="D279" s="3" t="s">
        <v>242</v>
      </c>
      <c r="E279" s="3" t="s">
        <v>211</v>
      </c>
      <c r="F279" s="3" t="str">
        <f t="shared" si="1"/>
        <v>Facial + Masaje90minLimpieza Profunda + Prenatal 90 MINZONA COSTA</v>
      </c>
      <c r="G279" s="1">
        <v>115000</v>
      </c>
      <c r="H279" s="1">
        <v>57983</v>
      </c>
    </row>
    <row r="280" spans="1:8" ht="14.25" customHeight="1">
      <c r="A280" s="3" t="s">
        <v>163</v>
      </c>
      <c r="B280" s="3" t="s">
        <v>83</v>
      </c>
      <c r="C280" s="3" t="s">
        <v>146</v>
      </c>
      <c r="D280" s="3" t="s">
        <v>242</v>
      </c>
      <c r="E280" s="3" t="s">
        <v>108</v>
      </c>
      <c r="F280" s="3" t="str">
        <f t="shared" si="1"/>
        <v>Facial + Masaje90minLimpieza Profunda + Prenatal 90 MINLO BARNECHEA</v>
      </c>
      <c r="G280" s="1">
        <v>115000</v>
      </c>
      <c r="H280" s="1">
        <v>57983</v>
      </c>
    </row>
    <row r="281" spans="1:8" ht="14.25" customHeight="1">
      <c r="A281" s="3" t="s">
        <v>163</v>
      </c>
      <c r="B281" s="3" t="s">
        <v>83</v>
      </c>
      <c r="C281" s="3" t="s">
        <v>146</v>
      </c>
      <c r="D281" s="3" t="s">
        <v>241</v>
      </c>
      <c r="E281" s="3" t="s">
        <v>101</v>
      </c>
      <c r="F281" s="3" t="str">
        <f t="shared" si="1"/>
        <v>Facial + Masaje90minLimpieza Profunda + PrenatalCOLINA</v>
      </c>
      <c r="G281" s="1">
        <v>115000</v>
      </c>
      <c r="H281" s="1">
        <v>57983</v>
      </c>
    </row>
    <row r="282" spans="1:8" ht="14.25" customHeight="1">
      <c r="A282" s="3" t="s">
        <v>163</v>
      </c>
      <c r="B282" s="3" t="s">
        <v>83</v>
      </c>
      <c r="C282" s="3" t="s">
        <v>84</v>
      </c>
      <c r="D282" s="3" t="s">
        <v>243</v>
      </c>
      <c r="E282" s="3" t="s">
        <v>199</v>
      </c>
      <c r="F282" s="3" t="str">
        <f t="shared" si="1"/>
        <v>Facial + Masaje60minLimpieza Profunda + RelajanteORIENTE</v>
      </c>
      <c r="G282" s="1">
        <v>95000</v>
      </c>
      <c r="H282" s="1">
        <v>47889</v>
      </c>
    </row>
    <row r="283" spans="1:8" ht="14.25" customHeight="1">
      <c r="A283" s="3" t="s">
        <v>163</v>
      </c>
      <c r="B283" s="3" t="s">
        <v>83</v>
      </c>
      <c r="C283" s="3" t="s">
        <v>84</v>
      </c>
      <c r="D283" s="3" t="s">
        <v>244</v>
      </c>
      <c r="E283" s="3" t="s">
        <v>208</v>
      </c>
      <c r="F283" s="3" t="str">
        <f t="shared" si="1"/>
        <v>Facial + Masaje60minLimpieza Profunda + Relajante 60 MINPONIENTE</v>
      </c>
      <c r="G283" s="1">
        <v>95000</v>
      </c>
      <c r="H283" s="1">
        <v>47889</v>
      </c>
    </row>
    <row r="284" spans="1:8" ht="14.25" customHeight="1">
      <c r="A284" s="3" t="s">
        <v>163</v>
      </c>
      <c r="B284" s="3" t="s">
        <v>83</v>
      </c>
      <c r="C284" s="3" t="s">
        <v>84</v>
      </c>
      <c r="D284" s="3" t="s">
        <v>244</v>
      </c>
      <c r="E284" s="3" t="s">
        <v>209</v>
      </c>
      <c r="F284" s="3" t="str">
        <f t="shared" si="1"/>
        <v>Facial + Masaje60minLimpieza Profunda + Relajante 60 MINNORTE</v>
      </c>
      <c r="G284" s="1">
        <v>95000</v>
      </c>
      <c r="H284" s="1">
        <v>47889</v>
      </c>
    </row>
    <row r="285" spans="1:8" ht="14.25" customHeight="1">
      <c r="A285" s="3" t="s">
        <v>163</v>
      </c>
      <c r="B285" s="3" t="s">
        <v>83</v>
      </c>
      <c r="C285" s="3" t="s">
        <v>84</v>
      </c>
      <c r="D285" s="3" t="s">
        <v>244</v>
      </c>
      <c r="E285" s="3" t="s">
        <v>210</v>
      </c>
      <c r="F285" s="3" t="str">
        <f t="shared" si="1"/>
        <v>Facial + Masaje60minLimpieza Profunda + Relajante 60 MINSUR</v>
      </c>
      <c r="G285" s="1">
        <v>95000</v>
      </c>
      <c r="H285" s="1">
        <v>47889</v>
      </c>
    </row>
    <row r="286" spans="1:8" ht="14.25" customHeight="1">
      <c r="A286" s="3" t="s">
        <v>163</v>
      </c>
      <c r="B286" s="3" t="s">
        <v>83</v>
      </c>
      <c r="C286" s="3" t="s">
        <v>84</v>
      </c>
      <c r="D286" s="3" t="s">
        <v>244</v>
      </c>
      <c r="E286" s="3" t="s">
        <v>211</v>
      </c>
      <c r="F286" s="3" t="str">
        <f t="shared" si="1"/>
        <v>Facial + Masaje60minLimpieza Profunda + Relajante 60 MINZONA COSTA</v>
      </c>
      <c r="G286" s="1">
        <v>95000</v>
      </c>
      <c r="H286" s="1">
        <v>47889</v>
      </c>
    </row>
    <row r="287" spans="1:8" ht="14.25" customHeight="1">
      <c r="A287" s="3" t="s">
        <v>163</v>
      </c>
      <c r="B287" s="3" t="s">
        <v>83</v>
      </c>
      <c r="C287" s="3" t="s">
        <v>84</v>
      </c>
      <c r="D287" s="3" t="s">
        <v>229</v>
      </c>
      <c r="E287" s="3" t="s">
        <v>211</v>
      </c>
      <c r="F287" s="3" t="str">
        <f t="shared" si="1"/>
        <v>Facial + Masaje60minTeen Germaine + Relajante 60 MINZONA COSTA</v>
      </c>
      <c r="G287" s="1">
        <v>95000</v>
      </c>
      <c r="H287" s="1">
        <v>47889</v>
      </c>
    </row>
    <row r="288" spans="1:8" ht="14.25" customHeight="1">
      <c r="A288" s="3" t="s">
        <v>163</v>
      </c>
      <c r="B288" s="3" t="s">
        <v>83</v>
      </c>
      <c r="C288" s="3" t="s">
        <v>84</v>
      </c>
      <c r="D288" s="3" t="s">
        <v>230</v>
      </c>
      <c r="E288" s="3" t="s">
        <v>211</v>
      </c>
      <c r="F288" s="3" t="str">
        <f t="shared" si="1"/>
        <v>Facial + Masaje60minTeen Germaine + Prenatal 60 MINZONA COSTA</v>
      </c>
      <c r="G288" s="1">
        <v>95000</v>
      </c>
      <c r="H288" s="1">
        <v>47889</v>
      </c>
    </row>
    <row r="289" spans="1:8" ht="14.25" customHeight="1">
      <c r="A289" s="3" t="s">
        <v>163</v>
      </c>
      <c r="B289" s="3" t="s">
        <v>83</v>
      </c>
      <c r="C289" s="3" t="s">
        <v>84</v>
      </c>
      <c r="D289" s="3" t="s">
        <v>231</v>
      </c>
      <c r="E289" s="3" t="s">
        <v>211</v>
      </c>
      <c r="F289" s="3" t="str">
        <f t="shared" si="1"/>
        <v>Facial + Masaje60minTeen Germaine + Tejido profundo 60 MINZONA COSTA</v>
      </c>
      <c r="G289" s="1">
        <v>95000</v>
      </c>
      <c r="H289" s="1">
        <v>47889</v>
      </c>
    </row>
    <row r="290" spans="1:8" ht="14.25" customHeight="1">
      <c r="A290" s="3" t="s">
        <v>163</v>
      </c>
      <c r="B290" s="3" t="s">
        <v>83</v>
      </c>
      <c r="C290" s="3" t="s">
        <v>84</v>
      </c>
      <c r="D290" s="3" t="s">
        <v>232</v>
      </c>
      <c r="E290" s="3" t="s">
        <v>211</v>
      </c>
      <c r="F290" s="3" t="str">
        <f t="shared" si="1"/>
        <v>Facial + Masaje60minTeen Germaine + Deportivo 60 MINZONA COSTA</v>
      </c>
      <c r="G290" s="1">
        <v>95000</v>
      </c>
      <c r="H290" s="1">
        <v>47889</v>
      </c>
    </row>
    <row r="291" spans="1:8" ht="14.25" customHeight="1">
      <c r="A291" s="3" t="s">
        <v>163</v>
      </c>
      <c r="B291" s="3" t="s">
        <v>83</v>
      </c>
      <c r="C291" s="3" t="s">
        <v>146</v>
      </c>
      <c r="D291" s="3" t="s">
        <v>233</v>
      </c>
      <c r="E291" s="3" t="s">
        <v>211</v>
      </c>
      <c r="F291" s="3" t="str">
        <f t="shared" si="1"/>
        <v>Facial + Masaje90minTeen Germaine + Relajante 90 MINZONA COSTA</v>
      </c>
      <c r="G291" s="1">
        <v>115000</v>
      </c>
      <c r="H291" s="1">
        <v>57983</v>
      </c>
    </row>
    <row r="292" spans="1:8" ht="14.25" customHeight="1">
      <c r="A292" s="3" t="s">
        <v>163</v>
      </c>
      <c r="B292" s="3" t="s">
        <v>83</v>
      </c>
      <c r="C292" s="3" t="s">
        <v>146</v>
      </c>
      <c r="D292" s="3" t="s">
        <v>234</v>
      </c>
      <c r="E292" s="3" t="s">
        <v>211</v>
      </c>
      <c r="F292" s="3" t="str">
        <f t="shared" si="1"/>
        <v>Facial + Masaje90minTeen Germaine + Prenatal 90 MINZONA COSTA</v>
      </c>
      <c r="G292" s="1">
        <v>115000</v>
      </c>
      <c r="H292" s="1">
        <v>57983</v>
      </c>
    </row>
    <row r="293" spans="1:8" ht="14.25" customHeight="1">
      <c r="A293" s="3" t="s">
        <v>163</v>
      </c>
      <c r="B293" s="3" t="s">
        <v>83</v>
      </c>
      <c r="C293" s="3" t="s">
        <v>146</v>
      </c>
      <c r="D293" s="3" t="s">
        <v>235</v>
      </c>
      <c r="E293" s="3" t="s">
        <v>211</v>
      </c>
      <c r="F293" s="3" t="str">
        <f t="shared" si="1"/>
        <v>Facial + Masaje90minTeen Germaine + Tejido profundo 90 MINZONA COSTA</v>
      </c>
      <c r="G293" s="1">
        <v>115000</v>
      </c>
      <c r="H293" s="1">
        <v>57983</v>
      </c>
    </row>
    <row r="294" spans="1:8" ht="14.25" customHeight="1">
      <c r="A294" s="3" t="s">
        <v>163</v>
      </c>
      <c r="B294" s="3" t="s">
        <v>83</v>
      </c>
      <c r="C294" s="3" t="s">
        <v>146</v>
      </c>
      <c r="D294" s="3" t="s">
        <v>236</v>
      </c>
      <c r="E294" s="3" t="s">
        <v>211</v>
      </c>
      <c r="F294" s="3" t="str">
        <f t="shared" si="1"/>
        <v>Facial + Masaje90minTeen Germaine + Deportivo 90 MINZONA COSTA</v>
      </c>
      <c r="G294" s="1">
        <v>115000</v>
      </c>
      <c r="H294" s="1">
        <v>57983</v>
      </c>
    </row>
    <row r="295" spans="1:8" ht="14.25" customHeight="1">
      <c r="A295" s="3" t="s">
        <v>163</v>
      </c>
      <c r="B295" s="3" t="s">
        <v>83</v>
      </c>
      <c r="C295" s="3" t="s">
        <v>84</v>
      </c>
      <c r="D295" s="3" t="s">
        <v>217</v>
      </c>
      <c r="E295" s="3" t="s">
        <v>211</v>
      </c>
      <c r="F295" s="3" t="str">
        <f t="shared" si="1"/>
        <v>Facial + Masaje60minFacial para él + RelajanteZONA COSTA</v>
      </c>
      <c r="G295" s="1">
        <v>95000</v>
      </c>
      <c r="H295" s="1">
        <v>47889</v>
      </c>
    </row>
    <row r="296" spans="1:8" ht="14.25" customHeight="1">
      <c r="A296" s="3" t="s">
        <v>163</v>
      </c>
      <c r="B296" s="3" t="s">
        <v>83</v>
      </c>
      <c r="C296" s="3" t="s">
        <v>84</v>
      </c>
      <c r="D296" s="3" t="s">
        <v>218</v>
      </c>
      <c r="E296" s="3" t="s">
        <v>211</v>
      </c>
      <c r="F296" s="3" t="str">
        <f t="shared" si="1"/>
        <v>Facial + Masaje60minFacial para él  + PrenatalZONA COSTA</v>
      </c>
      <c r="G296" s="1">
        <v>95000</v>
      </c>
      <c r="H296" s="1">
        <v>47889</v>
      </c>
    </row>
    <row r="297" spans="1:8" ht="14.25" customHeight="1">
      <c r="A297" s="3" t="s">
        <v>163</v>
      </c>
      <c r="B297" s="3" t="s">
        <v>83</v>
      </c>
      <c r="C297" s="3" t="s">
        <v>84</v>
      </c>
      <c r="D297" s="3" t="s">
        <v>219</v>
      </c>
      <c r="E297" s="3" t="s">
        <v>211</v>
      </c>
      <c r="F297" s="3" t="str">
        <f t="shared" si="1"/>
        <v>Facial + Masaje60minFacial para él + Tejido profundoZONA COSTA</v>
      </c>
      <c r="G297" s="1">
        <v>95000</v>
      </c>
      <c r="H297" s="1">
        <v>47889</v>
      </c>
    </row>
    <row r="298" spans="1:8" ht="14.25" customHeight="1">
      <c r="A298" s="3" t="s">
        <v>163</v>
      </c>
      <c r="B298" s="3" t="s">
        <v>83</v>
      </c>
      <c r="C298" s="3" t="s">
        <v>84</v>
      </c>
      <c r="D298" s="3" t="s">
        <v>220</v>
      </c>
      <c r="E298" s="3" t="s">
        <v>211</v>
      </c>
      <c r="F298" s="3" t="str">
        <f t="shared" si="1"/>
        <v>Facial + Masaje60minFacial para él  + DeportivoZONA COSTA</v>
      </c>
      <c r="G298" s="1">
        <v>95000</v>
      </c>
      <c r="H298" s="1">
        <v>47889</v>
      </c>
    </row>
    <row r="299" spans="1:8" ht="14.25" customHeight="1">
      <c r="A299" s="3" t="s">
        <v>163</v>
      </c>
      <c r="B299" s="3" t="s">
        <v>83</v>
      </c>
      <c r="C299" s="3" t="s">
        <v>146</v>
      </c>
      <c r="D299" s="3" t="s">
        <v>237</v>
      </c>
      <c r="E299" s="3" t="s">
        <v>211</v>
      </c>
      <c r="F299" s="3" t="str">
        <f t="shared" si="1"/>
        <v>Facial + Masaje90minFacial para él  + Relajante 90 MINZONA COSTA</v>
      </c>
      <c r="G299" s="1">
        <v>115000</v>
      </c>
      <c r="H299" s="1">
        <v>57983</v>
      </c>
    </row>
    <row r="300" spans="1:8" ht="14.25" customHeight="1">
      <c r="A300" s="3" t="s">
        <v>163</v>
      </c>
      <c r="B300" s="3" t="s">
        <v>83</v>
      </c>
      <c r="C300" s="3" t="s">
        <v>146</v>
      </c>
      <c r="D300" s="3" t="s">
        <v>238</v>
      </c>
      <c r="E300" s="3" t="s">
        <v>211</v>
      </c>
      <c r="F300" s="3" t="str">
        <f t="shared" si="1"/>
        <v>Facial + Masaje90minFacial para él  + Prenatal 90 MINZONA COSTA</v>
      </c>
      <c r="G300" s="1">
        <v>115000</v>
      </c>
      <c r="H300" s="1">
        <v>57983</v>
      </c>
    </row>
    <row r="301" spans="1:8" ht="14.25" customHeight="1">
      <c r="A301" s="3" t="s">
        <v>163</v>
      </c>
      <c r="B301" s="3" t="s">
        <v>83</v>
      </c>
      <c r="C301" s="3" t="s">
        <v>146</v>
      </c>
      <c r="D301" s="3" t="s">
        <v>239</v>
      </c>
      <c r="E301" s="3" t="s">
        <v>211</v>
      </c>
      <c r="F301" s="3" t="str">
        <f t="shared" si="1"/>
        <v>Facial + Masaje90minFacial para él  + Tejido profundo 90 MINZONA COSTA</v>
      </c>
      <c r="G301" s="1">
        <v>115000</v>
      </c>
      <c r="H301" s="1">
        <v>57983</v>
      </c>
    </row>
    <row r="302" spans="1:8" ht="14.25" customHeight="1">
      <c r="A302" s="3" t="s">
        <v>163</v>
      </c>
      <c r="B302" s="3" t="s">
        <v>83</v>
      </c>
      <c r="C302" s="3" t="s">
        <v>146</v>
      </c>
      <c r="D302" s="3" t="s">
        <v>240</v>
      </c>
      <c r="E302" s="3" t="s">
        <v>211</v>
      </c>
      <c r="F302" s="3" t="str">
        <f t="shared" si="1"/>
        <v>Facial + Masaje90minFacial para él  + Deportivo 90 MINZONA COSTA</v>
      </c>
      <c r="G302" s="1">
        <v>115000</v>
      </c>
      <c r="H302" s="1">
        <v>57983</v>
      </c>
    </row>
    <row r="303" spans="1:8" ht="14.25" customHeight="1">
      <c r="A303" s="3" t="s">
        <v>82</v>
      </c>
      <c r="B303" s="3" t="s">
        <v>83</v>
      </c>
      <c r="C303" s="3" t="s">
        <v>84</v>
      </c>
      <c r="D303" s="3" t="s">
        <v>85</v>
      </c>
      <c r="E303" s="3" t="s">
        <v>108</v>
      </c>
      <c r="F303" s="3" t="str">
        <f t="shared" si="1"/>
        <v>Masaje60minRelajanteLO BARNECHEA</v>
      </c>
      <c r="G303" s="1">
        <v>45000</v>
      </c>
      <c r="H303" s="1">
        <v>22689</v>
      </c>
    </row>
    <row r="304" spans="1:8" ht="14.25" customHeight="1">
      <c r="A304" s="3" t="s">
        <v>82</v>
      </c>
      <c r="B304" s="3" t="s">
        <v>83</v>
      </c>
      <c r="C304" s="3" t="s">
        <v>146</v>
      </c>
      <c r="D304" s="3" t="s">
        <v>85</v>
      </c>
      <c r="E304" s="3" t="s">
        <v>108</v>
      </c>
      <c r="F304" s="3" t="str">
        <f t="shared" si="1"/>
        <v>Masaje90minRelajanteLO BARNECHEA</v>
      </c>
      <c r="G304" s="1">
        <v>63000</v>
      </c>
      <c r="H304" s="1">
        <v>31765</v>
      </c>
    </row>
    <row r="305" spans="1:8" ht="14.25" customHeight="1">
      <c r="A305" s="3" t="s">
        <v>82</v>
      </c>
      <c r="B305" s="3" t="s">
        <v>83</v>
      </c>
      <c r="C305" s="3" t="s">
        <v>120</v>
      </c>
      <c r="D305" s="3" t="s">
        <v>85</v>
      </c>
      <c r="E305" s="3" t="s">
        <v>108</v>
      </c>
      <c r="F305" s="3" t="str">
        <f t="shared" si="1"/>
        <v>Masaje120minRelajanteLO BARNECHEA</v>
      </c>
      <c r="G305" s="1">
        <v>76000</v>
      </c>
      <c r="H305" s="1">
        <v>38319</v>
      </c>
    </row>
    <row r="306" spans="1:8" ht="14.25" customHeight="1">
      <c r="A306" s="3" t="s">
        <v>82</v>
      </c>
      <c r="B306" s="3" t="s">
        <v>83</v>
      </c>
      <c r="C306" s="3" t="s">
        <v>84</v>
      </c>
      <c r="D306" s="3" t="s">
        <v>100</v>
      </c>
      <c r="E306" s="3" t="s">
        <v>108</v>
      </c>
      <c r="F306" s="3" t="str">
        <f t="shared" si="1"/>
        <v>Masaje60minPrenatalLO BARNECHEA</v>
      </c>
      <c r="G306" s="1">
        <v>45000</v>
      </c>
      <c r="H306" s="1">
        <v>22689</v>
      </c>
    </row>
    <row r="307" spans="1:8" ht="14.25" customHeight="1">
      <c r="A307" s="3" t="s">
        <v>82</v>
      </c>
      <c r="B307" s="3" t="s">
        <v>83</v>
      </c>
      <c r="C307" s="3" t="s">
        <v>146</v>
      </c>
      <c r="D307" s="3" t="s">
        <v>100</v>
      </c>
      <c r="E307" s="3" t="s">
        <v>108</v>
      </c>
      <c r="F307" s="3" t="str">
        <f t="shared" si="1"/>
        <v>Masaje90minPrenatalLO BARNECHEA</v>
      </c>
      <c r="G307" s="1">
        <v>63000</v>
      </c>
      <c r="H307" s="1">
        <v>31765</v>
      </c>
    </row>
    <row r="308" spans="1:8" ht="14.25" customHeight="1">
      <c r="A308" s="3" t="s">
        <v>82</v>
      </c>
      <c r="B308" s="3" t="s">
        <v>83</v>
      </c>
      <c r="C308" s="3" t="s">
        <v>120</v>
      </c>
      <c r="D308" s="3" t="s">
        <v>100</v>
      </c>
      <c r="E308" s="3" t="s">
        <v>108</v>
      </c>
      <c r="F308" s="3" t="str">
        <f t="shared" si="1"/>
        <v>Masaje120minPrenatalLO BARNECHEA</v>
      </c>
      <c r="G308" s="1">
        <v>76000</v>
      </c>
      <c r="H308" s="1">
        <v>38319</v>
      </c>
    </row>
    <row r="309" spans="1:8" ht="14.25" customHeight="1">
      <c r="A309" s="3" t="s">
        <v>82</v>
      </c>
      <c r="B309" s="3" t="s">
        <v>83</v>
      </c>
      <c r="C309" s="3" t="s">
        <v>84</v>
      </c>
      <c r="D309" s="3" t="s">
        <v>123</v>
      </c>
      <c r="E309" s="3" t="s">
        <v>108</v>
      </c>
      <c r="F309" s="3" t="str">
        <f t="shared" si="1"/>
        <v>Masaje60minTejido profundoLO BARNECHEA</v>
      </c>
      <c r="G309" s="1">
        <v>45000</v>
      </c>
      <c r="H309" s="1">
        <v>22689.0756302521</v>
      </c>
    </row>
    <row r="310" spans="1:8" ht="14.25" customHeight="1">
      <c r="A310" s="3" t="s">
        <v>82</v>
      </c>
      <c r="B310" s="3" t="s">
        <v>83</v>
      </c>
      <c r="C310" s="3" t="s">
        <v>146</v>
      </c>
      <c r="D310" s="3" t="s">
        <v>123</v>
      </c>
      <c r="E310" s="3" t="s">
        <v>108</v>
      </c>
      <c r="F310" s="3" t="str">
        <f t="shared" si="1"/>
        <v>Masaje90minTejido profundoLO BARNECHEA</v>
      </c>
      <c r="G310" s="1">
        <v>63000</v>
      </c>
      <c r="H310" s="1">
        <v>31765</v>
      </c>
    </row>
    <row r="311" spans="1:8" ht="14.25" customHeight="1">
      <c r="A311" s="3" t="s">
        <v>82</v>
      </c>
      <c r="B311" s="3" t="s">
        <v>83</v>
      </c>
      <c r="C311" s="3" t="s">
        <v>120</v>
      </c>
      <c r="D311" s="3" t="s">
        <v>123</v>
      </c>
      <c r="E311" s="3" t="s">
        <v>108</v>
      </c>
      <c r="F311" s="3" t="str">
        <f t="shared" si="1"/>
        <v>Masaje120minTejido profundoLO BARNECHEA</v>
      </c>
      <c r="G311" s="1">
        <v>76000</v>
      </c>
      <c r="H311" s="1">
        <v>38319.327731092439</v>
      </c>
    </row>
    <row r="312" spans="1:8" ht="14.25" customHeight="1">
      <c r="A312" s="3" t="s">
        <v>82</v>
      </c>
      <c r="B312" s="3" t="s">
        <v>83</v>
      </c>
      <c r="C312" s="3" t="s">
        <v>84</v>
      </c>
      <c r="D312" s="3" t="s">
        <v>150</v>
      </c>
      <c r="E312" s="3" t="s">
        <v>108</v>
      </c>
      <c r="F312" s="3" t="str">
        <f t="shared" si="1"/>
        <v>Masaje60minDeportivoLO BARNECHEA</v>
      </c>
      <c r="G312" s="1">
        <v>45000</v>
      </c>
      <c r="H312" s="1">
        <v>22689.0756302521</v>
      </c>
    </row>
    <row r="313" spans="1:8" ht="14.25" customHeight="1">
      <c r="A313" s="3" t="s">
        <v>82</v>
      </c>
      <c r="B313" s="3" t="s">
        <v>83</v>
      </c>
      <c r="C313" s="3" t="s">
        <v>146</v>
      </c>
      <c r="D313" s="3" t="s">
        <v>150</v>
      </c>
      <c r="E313" s="3" t="s">
        <v>108</v>
      </c>
      <c r="F313" s="3" t="str">
        <f t="shared" si="1"/>
        <v>Masaje90minDeportivoLO BARNECHEA</v>
      </c>
      <c r="G313" s="1">
        <v>63000</v>
      </c>
      <c r="H313" s="1">
        <v>31765</v>
      </c>
    </row>
    <row r="314" spans="1:8" ht="14.25" customHeight="1">
      <c r="A314" s="3" t="s">
        <v>82</v>
      </c>
      <c r="B314" s="3" t="s">
        <v>83</v>
      </c>
      <c r="C314" s="3" t="s">
        <v>120</v>
      </c>
      <c r="D314" s="3" t="s">
        <v>150</v>
      </c>
      <c r="E314" s="3" t="s">
        <v>108</v>
      </c>
      <c r="F314" s="3" t="str">
        <f t="shared" si="1"/>
        <v>Masaje120minDeportivoLO BARNECHEA</v>
      </c>
      <c r="G314" s="1">
        <v>76000</v>
      </c>
      <c r="H314" s="1">
        <v>38319.327731092439</v>
      </c>
    </row>
    <row r="315" spans="1:8" ht="14.25" customHeight="1">
      <c r="A315" s="3" t="s">
        <v>82</v>
      </c>
      <c r="B315" s="3" t="s">
        <v>119</v>
      </c>
      <c r="C315" s="3" t="s">
        <v>84</v>
      </c>
      <c r="D315" s="3" t="s">
        <v>85</v>
      </c>
      <c r="E315" s="3" t="s">
        <v>108</v>
      </c>
      <c r="F315" s="3" t="str">
        <f t="shared" si="1"/>
        <v>Masaje60minRelajanteLO BARNECHEA</v>
      </c>
      <c r="G315" s="1">
        <v>45000</v>
      </c>
      <c r="H315" s="1">
        <v>22689</v>
      </c>
    </row>
    <row r="316" spans="1:8" ht="14.25" customHeight="1">
      <c r="A316" s="3" t="s">
        <v>82</v>
      </c>
      <c r="B316" s="3" t="s">
        <v>119</v>
      </c>
      <c r="C316" s="3" t="s">
        <v>146</v>
      </c>
      <c r="D316" s="3" t="s">
        <v>85</v>
      </c>
      <c r="E316" s="3" t="s">
        <v>108</v>
      </c>
      <c r="F316" s="3" t="str">
        <f t="shared" si="1"/>
        <v>Masaje90minRelajanteLO BARNECHEA</v>
      </c>
      <c r="G316" s="1">
        <v>63000</v>
      </c>
      <c r="H316" s="1">
        <v>31765</v>
      </c>
    </row>
    <row r="317" spans="1:8" ht="14.25" customHeight="1">
      <c r="A317" s="3" t="s">
        <v>82</v>
      </c>
      <c r="B317" s="3" t="s">
        <v>119</v>
      </c>
      <c r="C317" s="3" t="s">
        <v>120</v>
      </c>
      <c r="D317" s="3" t="s">
        <v>85</v>
      </c>
      <c r="E317" s="3" t="s">
        <v>108</v>
      </c>
      <c r="F317" s="3" t="str">
        <f t="shared" si="1"/>
        <v>Masaje120minRelajanteLO BARNECHEA</v>
      </c>
      <c r="G317" s="1">
        <v>76000</v>
      </c>
      <c r="H317" s="1">
        <v>38319</v>
      </c>
    </row>
    <row r="318" spans="1:8" ht="14.25" customHeight="1">
      <c r="A318" s="3" t="s">
        <v>82</v>
      </c>
      <c r="B318" s="3" t="s">
        <v>119</v>
      </c>
      <c r="C318" s="3" t="s">
        <v>84</v>
      </c>
      <c r="D318" s="3" t="s">
        <v>100</v>
      </c>
      <c r="E318" s="3" t="s">
        <v>108</v>
      </c>
      <c r="F318" s="3" t="str">
        <f t="shared" si="1"/>
        <v>Masaje60minPrenatalLO BARNECHEA</v>
      </c>
      <c r="G318" s="1">
        <v>45000</v>
      </c>
      <c r="H318" s="1">
        <v>22689</v>
      </c>
    </row>
    <row r="319" spans="1:8" ht="14.25" customHeight="1">
      <c r="A319" s="3" t="s">
        <v>82</v>
      </c>
      <c r="B319" s="3" t="s">
        <v>119</v>
      </c>
      <c r="C319" s="3" t="s">
        <v>146</v>
      </c>
      <c r="D319" s="3" t="s">
        <v>100</v>
      </c>
      <c r="E319" s="3" t="s">
        <v>108</v>
      </c>
      <c r="F319" s="3" t="str">
        <f t="shared" si="1"/>
        <v>Masaje90minPrenatalLO BARNECHEA</v>
      </c>
      <c r="G319" s="1">
        <v>63000</v>
      </c>
      <c r="H319" s="1">
        <v>31765</v>
      </c>
    </row>
    <row r="320" spans="1:8" ht="14.25" customHeight="1">
      <c r="A320" s="3" t="s">
        <v>82</v>
      </c>
      <c r="B320" s="3" t="s">
        <v>119</v>
      </c>
      <c r="C320" s="3" t="s">
        <v>120</v>
      </c>
      <c r="D320" s="3" t="s">
        <v>100</v>
      </c>
      <c r="E320" s="3" t="s">
        <v>108</v>
      </c>
      <c r="F320" s="3" t="str">
        <f t="shared" si="1"/>
        <v>Masaje120minPrenatalLO BARNECHEA</v>
      </c>
      <c r="G320" s="1">
        <v>76000</v>
      </c>
      <c r="H320" s="1">
        <v>38319</v>
      </c>
    </row>
    <row r="321" spans="1:8" ht="14.25" customHeight="1">
      <c r="A321" s="3" t="s">
        <v>82</v>
      </c>
      <c r="B321" s="3" t="s">
        <v>119</v>
      </c>
      <c r="C321" s="3" t="s">
        <v>84</v>
      </c>
      <c r="D321" s="3" t="s">
        <v>123</v>
      </c>
      <c r="E321" s="3" t="s">
        <v>108</v>
      </c>
      <c r="F321" s="3" t="str">
        <f t="shared" si="1"/>
        <v>Masaje60minTejido profundoLO BARNECHEA</v>
      </c>
      <c r="G321" s="1">
        <v>45000</v>
      </c>
      <c r="H321" s="1">
        <v>22689.0756302521</v>
      </c>
    </row>
    <row r="322" spans="1:8" ht="14.25" customHeight="1">
      <c r="A322" s="3" t="s">
        <v>82</v>
      </c>
      <c r="B322" s="3" t="s">
        <v>119</v>
      </c>
      <c r="C322" s="3" t="s">
        <v>146</v>
      </c>
      <c r="D322" s="3" t="s">
        <v>123</v>
      </c>
      <c r="E322" s="3" t="s">
        <v>108</v>
      </c>
      <c r="F322" s="3" t="str">
        <f t="shared" si="1"/>
        <v>Masaje90minTejido profundoLO BARNECHEA</v>
      </c>
      <c r="G322" s="1">
        <v>63000</v>
      </c>
      <c r="H322" s="1">
        <v>31765</v>
      </c>
    </row>
    <row r="323" spans="1:8" ht="14.25" customHeight="1">
      <c r="A323" s="3" t="s">
        <v>82</v>
      </c>
      <c r="B323" s="3" t="s">
        <v>119</v>
      </c>
      <c r="C323" s="3" t="s">
        <v>120</v>
      </c>
      <c r="D323" s="3" t="s">
        <v>123</v>
      </c>
      <c r="E323" s="3" t="s">
        <v>108</v>
      </c>
      <c r="F323" s="3" t="str">
        <f t="shared" si="1"/>
        <v>Masaje120minTejido profundoLO BARNECHEA</v>
      </c>
      <c r="G323" s="1">
        <v>76000</v>
      </c>
      <c r="H323" s="1">
        <v>38319.327731092439</v>
      </c>
    </row>
    <row r="324" spans="1:8" ht="14.25" customHeight="1">
      <c r="A324" s="3" t="s">
        <v>82</v>
      </c>
      <c r="B324" s="3" t="s">
        <v>119</v>
      </c>
      <c r="C324" s="3" t="s">
        <v>84</v>
      </c>
      <c r="D324" s="3" t="s">
        <v>150</v>
      </c>
      <c r="E324" s="3" t="s">
        <v>108</v>
      </c>
      <c r="F324" s="3" t="str">
        <f t="shared" si="1"/>
        <v>Masaje60minDeportivoLO BARNECHEA</v>
      </c>
      <c r="G324" s="1">
        <v>45000</v>
      </c>
      <c r="H324" s="1">
        <v>22689.0756302521</v>
      </c>
    </row>
    <row r="325" spans="1:8" ht="14.25" customHeight="1">
      <c r="A325" s="3" t="s">
        <v>82</v>
      </c>
      <c r="B325" s="3" t="s">
        <v>119</v>
      </c>
      <c r="C325" s="3" t="s">
        <v>146</v>
      </c>
      <c r="D325" s="3" t="s">
        <v>150</v>
      </c>
      <c r="E325" s="3" t="s">
        <v>108</v>
      </c>
      <c r="F325" s="3" t="str">
        <f t="shared" si="1"/>
        <v>Masaje90minDeportivoLO BARNECHEA</v>
      </c>
      <c r="G325" s="1">
        <v>63000</v>
      </c>
      <c r="H325" s="1">
        <v>31765</v>
      </c>
    </row>
    <row r="326" spans="1:8" ht="14.25" customHeight="1">
      <c r="A326" s="3" t="s">
        <v>82</v>
      </c>
      <c r="B326" s="3" t="s">
        <v>119</v>
      </c>
      <c r="C326" s="3" t="s">
        <v>120</v>
      </c>
      <c r="D326" s="3" t="s">
        <v>150</v>
      </c>
      <c r="E326" s="3" t="s">
        <v>108</v>
      </c>
      <c r="F326" s="3" t="str">
        <f t="shared" si="1"/>
        <v>Masaje120minDeportivoLO BARNECHEA</v>
      </c>
      <c r="G326" s="1">
        <v>76000</v>
      </c>
      <c r="H326" s="1">
        <v>38319.327731092439</v>
      </c>
    </row>
    <row r="327" spans="1:8" ht="14.25" customHeight="1">
      <c r="A327" s="3" t="s">
        <v>137</v>
      </c>
      <c r="B327" s="3" t="s">
        <v>83</v>
      </c>
      <c r="C327" s="3" t="s">
        <v>84</v>
      </c>
      <c r="D327" s="3" t="s">
        <v>138</v>
      </c>
      <c r="E327" s="3" t="s">
        <v>108</v>
      </c>
      <c r="F327" s="3" t="str">
        <f t="shared" si="1"/>
        <v>Facial60minHidratación ProfundaLO BARNECHEA</v>
      </c>
      <c r="G327" s="1">
        <v>60000</v>
      </c>
      <c r="H327" s="1">
        <v>30252</v>
      </c>
    </row>
    <row r="328" spans="1:8" ht="14.25" customHeight="1">
      <c r="A328" s="3" t="s">
        <v>137</v>
      </c>
      <c r="B328" s="3" t="s">
        <v>83</v>
      </c>
      <c r="C328" s="3" t="s">
        <v>84</v>
      </c>
      <c r="D328" s="3" t="s">
        <v>200</v>
      </c>
      <c r="E328" s="3" t="s">
        <v>108</v>
      </c>
      <c r="F328" s="3" t="str">
        <f t="shared" si="1"/>
        <v>Facial60minLimpieza ProfundaLO BARNECHEA</v>
      </c>
      <c r="G328" s="1">
        <v>60000</v>
      </c>
      <c r="H328" s="1">
        <v>30252</v>
      </c>
    </row>
    <row r="329" spans="1:8" ht="14.25" customHeight="1">
      <c r="A329" s="3" t="s">
        <v>137</v>
      </c>
      <c r="B329" s="3" t="s">
        <v>83</v>
      </c>
      <c r="C329" s="3" t="s">
        <v>84</v>
      </c>
      <c r="D329" s="3" t="s">
        <v>201</v>
      </c>
      <c r="E329" s="3" t="s">
        <v>108</v>
      </c>
      <c r="F329" s="3" t="str">
        <f t="shared" si="1"/>
        <v>Facial60minTeen GermaineLO BARNECHEA</v>
      </c>
      <c r="G329" s="1">
        <v>60000</v>
      </c>
      <c r="H329" s="1">
        <v>30252</v>
      </c>
    </row>
    <row r="330" spans="1:8" ht="14.25" customHeight="1">
      <c r="A330" s="3" t="s">
        <v>137</v>
      </c>
      <c r="B330" s="3" t="s">
        <v>83</v>
      </c>
      <c r="C330" s="3" t="s">
        <v>84</v>
      </c>
      <c r="D330" s="3" t="s">
        <v>245</v>
      </c>
      <c r="E330" s="3" t="s">
        <v>108</v>
      </c>
      <c r="F330" s="3" t="str">
        <f t="shared" si="1"/>
        <v>Facial60minFacial para élLO BARNECHEA</v>
      </c>
      <c r="G330" s="1">
        <v>60000</v>
      </c>
      <c r="H330" s="1">
        <v>30252</v>
      </c>
    </row>
    <row r="331" spans="1:8" ht="14.25" customHeight="1">
      <c r="A331" s="3" t="s">
        <v>163</v>
      </c>
      <c r="B331" s="3" t="s">
        <v>83</v>
      </c>
      <c r="C331" s="3" t="s">
        <v>84</v>
      </c>
      <c r="D331" s="3" t="s">
        <v>203</v>
      </c>
      <c r="E331" s="3" t="s">
        <v>108</v>
      </c>
      <c r="F331" s="3" t="str">
        <f t="shared" si="1"/>
        <v>Facial + Masaje60minHidratación Profunda + RelajanteLO BARNECHEA</v>
      </c>
      <c r="G331" s="1">
        <v>95000</v>
      </c>
      <c r="H331" s="1">
        <v>47889</v>
      </c>
    </row>
    <row r="332" spans="1:8" ht="14.25" customHeight="1">
      <c r="A332" s="3" t="s">
        <v>163</v>
      </c>
      <c r="B332" s="3" t="s">
        <v>83</v>
      </c>
      <c r="C332" s="3" t="s">
        <v>84</v>
      </c>
      <c r="D332" s="3" t="s">
        <v>204</v>
      </c>
      <c r="E332" s="3" t="s">
        <v>108</v>
      </c>
      <c r="F332" s="3" t="str">
        <f t="shared" si="1"/>
        <v>Facial + Masaje60minHidratación Profunda + PrenatalLO BARNECHEA</v>
      </c>
      <c r="G332" s="1">
        <v>95000</v>
      </c>
      <c r="H332" s="1">
        <v>47889</v>
      </c>
    </row>
    <row r="333" spans="1:8" ht="14.25" customHeight="1">
      <c r="A333" s="3" t="s">
        <v>163</v>
      </c>
      <c r="B333" s="3" t="s">
        <v>83</v>
      </c>
      <c r="C333" s="3" t="s">
        <v>84</v>
      </c>
      <c r="D333" s="3" t="s">
        <v>205</v>
      </c>
      <c r="E333" s="3" t="s">
        <v>108</v>
      </c>
      <c r="F333" s="3" t="str">
        <f t="shared" si="1"/>
        <v>Facial + Masaje60minHidratación Profunda + Tejido profundoLO BARNECHEA</v>
      </c>
      <c r="G333" s="1">
        <v>95000</v>
      </c>
      <c r="H333" s="1">
        <v>47889</v>
      </c>
    </row>
    <row r="334" spans="1:8" ht="14.25" customHeight="1">
      <c r="A334" s="3" t="s">
        <v>163</v>
      </c>
      <c r="B334" s="3" t="s">
        <v>83</v>
      </c>
      <c r="C334" s="3" t="s">
        <v>84</v>
      </c>
      <c r="D334" s="3" t="s">
        <v>206</v>
      </c>
      <c r="E334" s="3" t="s">
        <v>108</v>
      </c>
      <c r="F334" s="3" t="str">
        <f t="shared" si="1"/>
        <v>Facial + Masaje60minHidratación Profunda + DeportivoLO BARNECHEA</v>
      </c>
      <c r="G334" s="1">
        <v>95000</v>
      </c>
      <c r="H334" s="1">
        <v>47889</v>
      </c>
    </row>
    <row r="335" spans="1:8" ht="14.25" customHeight="1">
      <c r="A335" s="3" t="s">
        <v>163</v>
      </c>
      <c r="B335" s="3" t="s">
        <v>83</v>
      </c>
      <c r="C335" s="3" t="s">
        <v>146</v>
      </c>
      <c r="D335" s="3" t="s">
        <v>222</v>
      </c>
      <c r="E335" s="3" t="s">
        <v>108</v>
      </c>
      <c r="F335" s="3" t="str">
        <f t="shared" si="1"/>
        <v>Facial + Masaje90minHidratación Profunda + Relajante 90 MINLO BARNECHEA</v>
      </c>
      <c r="G335" s="1">
        <v>115000</v>
      </c>
      <c r="H335" s="1">
        <v>57983</v>
      </c>
    </row>
    <row r="336" spans="1:8" ht="14.25" customHeight="1">
      <c r="A336" s="3" t="s">
        <v>163</v>
      </c>
      <c r="B336" s="3" t="s">
        <v>83</v>
      </c>
      <c r="C336" s="3" t="s">
        <v>146</v>
      </c>
      <c r="D336" s="3" t="s">
        <v>223</v>
      </c>
      <c r="E336" s="3" t="s">
        <v>108</v>
      </c>
      <c r="F336" s="3" t="str">
        <f t="shared" si="1"/>
        <v>Facial + Masaje90minHidratación Profunda + Prenatal 90 MINLO BARNECHEA</v>
      </c>
      <c r="G336" s="1">
        <v>115000</v>
      </c>
      <c r="H336" s="1">
        <v>57983</v>
      </c>
    </row>
    <row r="337" spans="1:8" ht="14.25" customHeight="1">
      <c r="A337" s="3" t="s">
        <v>163</v>
      </c>
      <c r="B337" s="3" t="s">
        <v>83</v>
      </c>
      <c r="C337" s="3" t="s">
        <v>146</v>
      </c>
      <c r="D337" s="3" t="s">
        <v>224</v>
      </c>
      <c r="E337" s="3" t="s">
        <v>108</v>
      </c>
      <c r="F337" s="3" t="str">
        <f t="shared" si="1"/>
        <v>Facial + Masaje90minHidratación Profunda + Tejido profundo 90 MINLO BARNECHEA</v>
      </c>
      <c r="G337" s="1">
        <v>115000</v>
      </c>
      <c r="H337" s="1">
        <v>57983</v>
      </c>
    </row>
    <row r="338" spans="1:8" ht="14.25" customHeight="1">
      <c r="A338" s="3" t="s">
        <v>163</v>
      </c>
      <c r="B338" s="3" t="s">
        <v>83</v>
      </c>
      <c r="C338" s="3" t="s">
        <v>146</v>
      </c>
      <c r="D338" s="3" t="s">
        <v>225</v>
      </c>
      <c r="E338" s="3" t="s">
        <v>108</v>
      </c>
      <c r="F338" s="3" t="str">
        <f t="shared" si="1"/>
        <v>Facial + Masaje90minHidratación Profunda + Deportivo 90 MINLO BARNECHEA</v>
      </c>
      <c r="G338" s="1">
        <v>115000</v>
      </c>
      <c r="H338" s="1">
        <v>57983</v>
      </c>
    </row>
    <row r="339" spans="1:8" ht="14.25" customHeight="1">
      <c r="A339" s="3" t="s">
        <v>163</v>
      </c>
      <c r="B339" s="3" t="s">
        <v>83</v>
      </c>
      <c r="C339" s="3" t="s">
        <v>84</v>
      </c>
      <c r="D339" s="3" t="s">
        <v>244</v>
      </c>
      <c r="E339" s="3" t="s">
        <v>108</v>
      </c>
      <c r="F339" s="3" t="str">
        <f t="shared" si="1"/>
        <v>Facial + Masaje60minLimpieza Profunda + Relajante 60 MINLO BARNECHEA</v>
      </c>
      <c r="G339" s="1">
        <v>95000</v>
      </c>
      <c r="H339" s="1">
        <v>47889</v>
      </c>
    </row>
    <row r="340" spans="1:8" ht="14.25" customHeight="1">
      <c r="A340" s="3" t="s">
        <v>163</v>
      </c>
      <c r="B340" s="3" t="s">
        <v>83</v>
      </c>
      <c r="C340" s="3" t="s">
        <v>84</v>
      </c>
      <c r="D340" s="3" t="s">
        <v>243</v>
      </c>
      <c r="E340" s="3" t="s">
        <v>101</v>
      </c>
      <c r="F340" s="3" t="str">
        <f t="shared" si="1"/>
        <v>Facial + Masaje60minLimpieza Profunda + RelajanteCOLINA</v>
      </c>
      <c r="G340" s="1">
        <v>95000</v>
      </c>
      <c r="H340" s="1">
        <v>47889</v>
      </c>
    </row>
    <row r="341" spans="1:8" ht="14.25" customHeight="1">
      <c r="A341" s="3" t="s">
        <v>163</v>
      </c>
      <c r="B341" s="3" t="s">
        <v>83</v>
      </c>
      <c r="C341" s="3" t="s">
        <v>146</v>
      </c>
      <c r="D341" s="3" t="s">
        <v>243</v>
      </c>
      <c r="E341" s="3" t="s">
        <v>199</v>
      </c>
      <c r="F341" s="3" t="str">
        <f t="shared" si="1"/>
        <v>Facial + Masaje90minLimpieza Profunda + RelajanteORIENTE</v>
      </c>
      <c r="G341" s="1">
        <v>115000</v>
      </c>
      <c r="H341" s="1">
        <v>57983</v>
      </c>
    </row>
    <row r="342" spans="1:8" ht="14.25" customHeight="1">
      <c r="A342" s="3" t="s">
        <v>163</v>
      </c>
      <c r="B342" s="3" t="s">
        <v>83</v>
      </c>
      <c r="C342" s="3" t="s">
        <v>146</v>
      </c>
      <c r="D342" s="3" t="s">
        <v>246</v>
      </c>
      <c r="E342" s="3" t="s">
        <v>208</v>
      </c>
      <c r="F342" s="3" t="str">
        <f t="shared" si="1"/>
        <v>Facial + Masaje90minLimpieza Profunda + Relajante 90 MINPONIENTE</v>
      </c>
      <c r="G342" s="1">
        <v>115000</v>
      </c>
      <c r="H342" s="1">
        <v>57983</v>
      </c>
    </row>
    <row r="343" spans="1:8" ht="14.25" customHeight="1">
      <c r="A343" s="3" t="s">
        <v>163</v>
      </c>
      <c r="B343" s="3" t="s">
        <v>83</v>
      </c>
      <c r="C343" s="3" t="s">
        <v>146</v>
      </c>
      <c r="D343" s="3" t="s">
        <v>246</v>
      </c>
      <c r="E343" s="3" t="s">
        <v>209</v>
      </c>
      <c r="F343" s="3" t="str">
        <f t="shared" si="1"/>
        <v>Facial + Masaje90minLimpieza Profunda + Relajante 90 MINNORTE</v>
      </c>
      <c r="G343" s="1">
        <v>115000</v>
      </c>
      <c r="H343" s="1">
        <v>57983</v>
      </c>
    </row>
    <row r="344" spans="1:8" ht="14.25" customHeight="1">
      <c r="A344" s="3" t="s">
        <v>163</v>
      </c>
      <c r="B344" s="3" t="s">
        <v>83</v>
      </c>
      <c r="C344" s="3" t="s">
        <v>146</v>
      </c>
      <c r="D344" s="3" t="s">
        <v>246</v>
      </c>
      <c r="E344" s="3" t="s">
        <v>210</v>
      </c>
      <c r="F344" s="3" t="str">
        <f t="shared" si="1"/>
        <v>Facial + Masaje90minLimpieza Profunda + Relajante 90 MINSUR</v>
      </c>
      <c r="G344" s="1">
        <v>115000</v>
      </c>
      <c r="H344" s="1">
        <v>57983</v>
      </c>
    </row>
    <row r="345" spans="1:8" ht="14.25" customHeight="1">
      <c r="A345" s="3" t="s">
        <v>163</v>
      </c>
      <c r="B345" s="3" t="s">
        <v>83</v>
      </c>
      <c r="C345" s="3" t="s">
        <v>146</v>
      </c>
      <c r="D345" s="3" t="s">
        <v>246</v>
      </c>
      <c r="E345" s="3" t="s">
        <v>211</v>
      </c>
      <c r="F345" s="3" t="str">
        <f t="shared" si="1"/>
        <v>Facial + Masaje90minLimpieza Profunda + Relajante 90 MINZONA COSTA</v>
      </c>
      <c r="G345" s="1">
        <v>115000</v>
      </c>
      <c r="H345" s="1">
        <v>57983</v>
      </c>
    </row>
    <row r="346" spans="1:8" ht="14.25" customHeight="1">
      <c r="A346" s="3" t="s">
        <v>163</v>
      </c>
      <c r="B346" s="3" t="s">
        <v>83</v>
      </c>
      <c r="C346" s="3" t="s">
        <v>146</v>
      </c>
      <c r="D346" s="3" t="s">
        <v>246</v>
      </c>
      <c r="E346" s="3" t="s">
        <v>108</v>
      </c>
      <c r="F346" s="3" t="str">
        <f t="shared" si="1"/>
        <v>Facial + Masaje90minLimpieza Profunda + Relajante 90 MINLO BARNECHEA</v>
      </c>
      <c r="G346" s="1">
        <v>115000</v>
      </c>
      <c r="H346" s="1">
        <v>57983</v>
      </c>
    </row>
    <row r="347" spans="1:8" ht="14.25" customHeight="1">
      <c r="A347" s="3" t="s">
        <v>163</v>
      </c>
      <c r="B347" s="3" t="s">
        <v>83</v>
      </c>
      <c r="C347" s="3" t="s">
        <v>84</v>
      </c>
      <c r="D347" s="3" t="s">
        <v>229</v>
      </c>
      <c r="E347" s="3" t="s">
        <v>108</v>
      </c>
      <c r="F347" s="3" t="str">
        <f t="shared" si="1"/>
        <v>Facial + Masaje60minTeen Germaine + Relajante 60 MINLO BARNECHEA</v>
      </c>
      <c r="G347" s="1">
        <v>95000</v>
      </c>
      <c r="H347" s="1">
        <v>47889</v>
      </c>
    </row>
    <row r="348" spans="1:8" ht="14.25" customHeight="1">
      <c r="A348" s="3" t="s">
        <v>163</v>
      </c>
      <c r="B348" s="3" t="s">
        <v>83</v>
      </c>
      <c r="C348" s="3" t="s">
        <v>84</v>
      </c>
      <c r="D348" s="3" t="s">
        <v>230</v>
      </c>
      <c r="E348" s="3" t="s">
        <v>108</v>
      </c>
      <c r="F348" s="3" t="str">
        <f t="shared" si="1"/>
        <v>Facial + Masaje60minTeen Germaine + Prenatal 60 MINLO BARNECHEA</v>
      </c>
      <c r="G348" s="1">
        <v>95000</v>
      </c>
      <c r="H348" s="1">
        <v>47889</v>
      </c>
    </row>
    <row r="349" spans="1:8" ht="14.25" customHeight="1">
      <c r="A349" s="3" t="s">
        <v>163</v>
      </c>
      <c r="B349" s="3" t="s">
        <v>83</v>
      </c>
      <c r="C349" s="3" t="s">
        <v>84</v>
      </c>
      <c r="D349" s="3" t="s">
        <v>231</v>
      </c>
      <c r="E349" s="3" t="s">
        <v>108</v>
      </c>
      <c r="F349" s="3" t="str">
        <f t="shared" si="1"/>
        <v>Facial + Masaje60minTeen Germaine + Tejido profundo 60 MINLO BARNECHEA</v>
      </c>
      <c r="G349" s="1">
        <v>95000</v>
      </c>
      <c r="H349" s="1">
        <v>47889</v>
      </c>
    </row>
    <row r="350" spans="1:8" ht="14.25" customHeight="1">
      <c r="A350" s="3" t="s">
        <v>163</v>
      </c>
      <c r="B350" s="3" t="s">
        <v>83</v>
      </c>
      <c r="C350" s="3" t="s">
        <v>84</v>
      </c>
      <c r="D350" s="3" t="s">
        <v>232</v>
      </c>
      <c r="E350" s="3" t="s">
        <v>108</v>
      </c>
      <c r="F350" s="3" t="str">
        <f t="shared" si="1"/>
        <v>Facial + Masaje60minTeen Germaine + Deportivo 60 MINLO BARNECHEA</v>
      </c>
      <c r="G350" s="1">
        <v>95000</v>
      </c>
      <c r="H350" s="1">
        <v>47889</v>
      </c>
    </row>
    <row r="351" spans="1:8" ht="14.25" customHeight="1">
      <c r="A351" s="3" t="s">
        <v>163</v>
      </c>
      <c r="B351" s="3" t="s">
        <v>83</v>
      </c>
      <c r="C351" s="3" t="s">
        <v>146</v>
      </c>
      <c r="D351" s="3" t="s">
        <v>233</v>
      </c>
      <c r="E351" s="3" t="s">
        <v>108</v>
      </c>
      <c r="F351" s="3" t="str">
        <f t="shared" si="1"/>
        <v>Facial + Masaje90minTeen Germaine + Relajante 90 MINLO BARNECHEA</v>
      </c>
      <c r="G351" s="1">
        <v>115000</v>
      </c>
      <c r="H351" s="1">
        <v>57983</v>
      </c>
    </row>
    <row r="352" spans="1:8" ht="14.25" customHeight="1">
      <c r="A352" s="3" t="s">
        <v>163</v>
      </c>
      <c r="B352" s="3" t="s">
        <v>83</v>
      </c>
      <c r="C352" s="3" t="s">
        <v>146</v>
      </c>
      <c r="D352" s="3" t="s">
        <v>234</v>
      </c>
      <c r="E352" s="3" t="s">
        <v>108</v>
      </c>
      <c r="F352" s="3" t="str">
        <f t="shared" si="1"/>
        <v>Facial + Masaje90minTeen Germaine + Prenatal 90 MINLO BARNECHEA</v>
      </c>
      <c r="G352" s="1">
        <v>115000</v>
      </c>
      <c r="H352" s="1">
        <v>57983</v>
      </c>
    </row>
    <row r="353" spans="1:8" ht="14.25" customHeight="1">
      <c r="A353" s="3" t="s">
        <v>163</v>
      </c>
      <c r="B353" s="3" t="s">
        <v>83</v>
      </c>
      <c r="C353" s="3" t="s">
        <v>146</v>
      </c>
      <c r="D353" s="3" t="s">
        <v>235</v>
      </c>
      <c r="E353" s="3" t="s">
        <v>108</v>
      </c>
      <c r="F353" s="3" t="str">
        <f t="shared" si="1"/>
        <v>Facial + Masaje90minTeen Germaine + Tejido profundo 90 MINLO BARNECHEA</v>
      </c>
      <c r="G353" s="1">
        <v>115000</v>
      </c>
      <c r="H353" s="1">
        <v>57983</v>
      </c>
    </row>
    <row r="354" spans="1:8" ht="14.25" customHeight="1">
      <c r="A354" s="3" t="s">
        <v>163</v>
      </c>
      <c r="B354" s="3" t="s">
        <v>83</v>
      </c>
      <c r="C354" s="3" t="s">
        <v>146</v>
      </c>
      <c r="D354" s="3" t="s">
        <v>236</v>
      </c>
      <c r="E354" s="3" t="s">
        <v>108</v>
      </c>
      <c r="F354" s="3" t="str">
        <f t="shared" si="1"/>
        <v>Facial + Masaje90minTeen Germaine + Deportivo 90 MINLO BARNECHEA</v>
      </c>
      <c r="G354" s="1">
        <v>115000</v>
      </c>
      <c r="H354" s="1">
        <v>57983</v>
      </c>
    </row>
    <row r="355" spans="1:8" ht="14.25" customHeight="1">
      <c r="A355" s="3" t="s">
        <v>163</v>
      </c>
      <c r="B355" s="3" t="s">
        <v>83</v>
      </c>
      <c r="C355" s="3" t="s">
        <v>84</v>
      </c>
      <c r="D355" s="3" t="s">
        <v>217</v>
      </c>
      <c r="E355" s="3" t="s">
        <v>108</v>
      </c>
      <c r="F355" s="3" t="str">
        <f t="shared" si="1"/>
        <v>Facial + Masaje60minFacial para él + RelajanteLO BARNECHEA</v>
      </c>
      <c r="G355" s="1">
        <v>95000</v>
      </c>
      <c r="H355" s="1">
        <v>47889</v>
      </c>
    </row>
    <row r="356" spans="1:8" ht="14.25" customHeight="1">
      <c r="A356" s="3" t="s">
        <v>163</v>
      </c>
      <c r="B356" s="3" t="s">
        <v>83</v>
      </c>
      <c r="C356" s="3" t="s">
        <v>84</v>
      </c>
      <c r="D356" s="3" t="s">
        <v>218</v>
      </c>
      <c r="E356" s="3" t="s">
        <v>108</v>
      </c>
      <c r="F356" s="3" t="str">
        <f t="shared" si="1"/>
        <v>Facial + Masaje60minFacial para él  + PrenatalLO BARNECHEA</v>
      </c>
      <c r="G356" s="1">
        <v>95000</v>
      </c>
      <c r="H356" s="1">
        <v>47889</v>
      </c>
    </row>
    <row r="357" spans="1:8" ht="14.25" customHeight="1">
      <c r="A357" s="3" t="s">
        <v>163</v>
      </c>
      <c r="B357" s="3" t="s">
        <v>83</v>
      </c>
      <c r="C357" s="3" t="s">
        <v>84</v>
      </c>
      <c r="D357" s="3" t="s">
        <v>219</v>
      </c>
      <c r="E357" s="3" t="s">
        <v>108</v>
      </c>
      <c r="F357" s="3" t="str">
        <f t="shared" si="1"/>
        <v>Facial + Masaje60minFacial para él + Tejido profundoLO BARNECHEA</v>
      </c>
      <c r="G357" s="1">
        <v>95000</v>
      </c>
      <c r="H357" s="1">
        <v>47889</v>
      </c>
    </row>
    <row r="358" spans="1:8" ht="14.25" customHeight="1">
      <c r="A358" s="3" t="s">
        <v>163</v>
      </c>
      <c r="B358" s="3" t="s">
        <v>83</v>
      </c>
      <c r="C358" s="3" t="s">
        <v>84</v>
      </c>
      <c r="D358" s="3" t="s">
        <v>220</v>
      </c>
      <c r="E358" s="3" t="s">
        <v>108</v>
      </c>
      <c r="F358" s="3" t="str">
        <f t="shared" si="1"/>
        <v>Facial + Masaje60minFacial para él  + DeportivoLO BARNECHEA</v>
      </c>
      <c r="G358" s="1">
        <v>95000</v>
      </c>
      <c r="H358" s="1">
        <v>47889</v>
      </c>
    </row>
    <row r="359" spans="1:8" ht="14.25" customHeight="1">
      <c r="A359" s="3" t="s">
        <v>163</v>
      </c>
      <c r="B359" s="3" t="s">
        <v>83</v>
      </c>
      <c r="C359" s="3" t="s">
        <v>146</v>
      </c>
      <c r="D359" s="3" t="s">
        <v>237</v>
      </c>
      <c r="E359" s="3" t="s">
        <v>108</v>
      </c>
      <c r="F359" s="3" t="str">
        <f t="shared" si="1"/>
        <v>Facial + Masaje90minFacial para él  + Relajante 90 MINLO BARNECHEA</v>
      </c>
      <c r="G359" s="1">
        <v>115000</v>
      </c>
      <c r="H359" s="1">
        <v>57983</v>
      </c>
    </row>
    <row r="360" spans="1:8" ht="14.25" customHeight="1">
      <c r="A360" s="3" t="s">
        <v>163</v>
      </c>
      <c r="B360" s="3" t="s">
        <v>83</v>
      </c>
      <c r="C360" s="3" t="s">
        <v>146</v>
      </c>
      <c r="D360" s="3" t="s">
        <v>238</v>
      </c>
      <c r="E360" s="3" t="s">
        <v>108</v>
      </c>
      <c r="F360" s="3" t="str">
        <f t="shared" si="1"/>
        <v>Facial + Masaje90minFacial para él  + Prenatal 90 MINLO BARNECHEA</v>
      </c>
      <c r="G360" s="1">
        <v>115000</v>
      </c>
      <c r="H360" s="1">
        <v>57983</v>
      </c>
    </row>
    <row r="361" spans="1:8" ht="14.25" customHeight="1">
      <c r="A361" s="3" t="s">
        <v>163</v>
      </c>
      <c r="B361" s="3" t="s">
        <v>83</v>
      </c>
      <c r="C361" s="3" t="s">
        <v>146</v>
      </c>
      <c r="D361" s="3" t="s">
        <v>239</v>
      </c>
      <c r="E361" s="3" t="s">
        <v>108</v>
      </c>
      <c r="F361" s="3" t="str">
        <f t="shared" si="1"/>
        <v>Facial + Masaje90minFacial para él  + Tejido profundo 90 MINLO BARNECHEA</v>
      </c>
      <c r="G361" s="1">
        <v>115000</v>
      </c>
      <c r="H361" s="1">
        <v>57983</v>
      </c>
    </row>
    <row r="362" spans="1:8" ht="14.25" customHeight="1">
      <c r="A362" s="3" t="s">
        <v>163</v>
      </c>
      <c r="B362" s="3" t="s">
        <v>83</v>
      </c>
      <c r="C362" s="3" t="s">
        <v>146</v>
      </c>
      <c r="D362" s="3" t="s">
        <v>240</v>
      </c>
      <c r="E362" s="3" t="s">
        <v>108</v>
      </c>
      <c r="F362" s="3" t="str">
        <f t="shared" si="1"/>
        <v>Facial + Masaje90minFacial para él  + Deportivo 90 MINLO BARNECHEA</v>
      </c>
      <c r="G362" s="1">
        <v>115000</v>
      </c>
      <c r="H362" s="1">
        <v>57983</v>
      </c>
    </row>
    <row r="363" spans="1:8" ht="14.25" customHeight="1">
      <c r="A363" s="3" t="s">
        <v>82</v>
      </c>
      <c r="B363" s="3" t="s">
        <v>83</v>
      </c>
      <c r="C363" s="3" t="s">
        <v>84</v>
      </c>
      <c r="D363" s="3" t="s">
        <v>85</v>
      </c>
      <c r="E363" s="3" t="s">
        <v>101</v>
      </c>
      <c r="F363" s="3" t="str">
        <f t="shared" si="1"/>
        <v>Masaje60minRelajanteCOLINA</v>
      </c>
      <c r="G363" s="1">
        <v>45000</v>
      </c>
      <c r="H363" s="1">
        <v>22689</v>
      </c>
    </row>
    <row r="364" spans="1:8" ht="14.25" customHeight="1">
      <c r="A364" s="3" t="s">
        <v>82</v>
      </c>
      <c r="B364" s="3" t="s">
        <v>83</v>
      </c>
      <c r="C364" s="3" t="s">
        <v>146</v>
      </c>
      <c r="D364" s="3" t="s">
        <v>85</v>
      </c>
      <c r="E364" s="3" t="s">
        <v>101</v>
      </c>
      <c r="F364" s="3" t="str">
        <f t="shared" si="1"/>
        <v>Masaje90minRelajanteCOLINA</v>
      </c>
      <c r="G364" s="1">
        <v>63000</v>
      </c>
      <c r="H364" s="1">
        <v>31765</v>
      </c>
    </row>
    <row r="365" spans="1:8" ht="14.25" customHeight="1">
      <c r="A365" s="3" t="s">
        <v>82</v>
      </c>
      <c r="B365" s="3" t="s">
        <v>83</v>
      </c>
      <c r="C365" s="3" t="s">
        <v>120</v>
      </c>
      <c r="D365" s="3" t="s">
        <v>85</v>
      </c>
      <c r="E365" s="3" t="s">
        <v>101</v>
      </c>
      <c r="F365" s="3" t="str">
        <f t="shared" si="1"/>
        <v>Masaje120minRelajanteCOLINA</v>
      </c>
      <c r="G365" s="1">
        <v>76000</v>
      </c>
      <c r="H365" s="1">
        <v>38319</v>
      </c>
    </row>
    <row r="366" spans="1:8" ht="14.25" customHeight="1">
      <c r="A366" s="3" t="s">
        <v>82</v>
      </c>
      <c r="B366" s="3" t="s">
        <v>83</v>
      </c>
      <c r="C366" s="3" t="s">
        <v>84</v>
      </c>
      <c r="D366" s="3" t="s">
        <v>100</v>
      </c>
      <c r="E366" s="3" t="s">
        <v>101</v>
      </c>
      <c r="F366" s="3" t="str">
        <f t="shared" si="1"/>
        <v>Masaje60minPrenatalCOLINA</v>
      </c>
      <c r="G366" s="1">
        <v>45000</v>
      </c>
      <c r="H366" s="1">
        <v>22689</v>
      </c>
    </row>
    <row r="367" spans="1:8" ht="14.25" customHeight="1">
      <c r="A367" s="3" t="s">
        <v>82</v>
      </c>
      <c r="B367" s="3" t="s">
        <v>83</v>
      </c>
      <c r="C367" s="3" t="s">
        <v>146</v>
      </c>
      <c r="D367" s="3" t="s">
        <v>100</v>
      </c>
      <c r="E367" s="3" t="s">
        <v>101</v>
      </c>
      <c r="F367" s="3" t="str">
        <f t="shared" si="1"/>
        <v>Masaje90minPrenatalCOLINA</v>
      </c>
      <c r="G367" s="1">
        <v>63000</v>
      </c>
      <c r="H367" s="1">
        <v>31765</v>
      </c>
    </row>
    <row r="368" spans="1:8" ht="14.25" customHeight="1">
      <c r="A368" s="3" t="s">
        <v>82</v>
      </c>
      <c r="B368" s="3" t="s">
        <v>83</v>
      </c>
      <c r="C368" s="3" t="s">
        <v>120</v>
      </c>
      <c r="D368" s="3" t="s">
        <v>100</v>
      </c>
      <c r="E368" s="3" t="s">
        <v>101</v>
      </c>
      <c r="F368" s="3" t="str">
        <f t="shared" si="1"/>
        <v>Masaje120minPrenatalCOLINA</v>
      </c>
      <c r="G368" s="1">
        <v>76000</v>
      </c>
      <c r="H368" s="1">
        <v>38319</v>
      </c>
    </row>
    <row r="369" spans="1:8" ht="14.25" customHeight="1">
      <c r="A369" s="3" t="s">
        <v>82</v>
      </c>
      <c r="B369" s="3" t="s">
        <v>83</v>
      </c>
      <c r="C369" s="3" t="s">
        <v>84</v>
      </c>
      <c r="D369" s="3" t="s">
        <v>123</v>
      </c>
      <c r="E369" s="3" t="s">
        <v>101</v>
      </c>
      <c r="F369" s="3" t="str">
        <f t="shared" si="1"/>
        <v>Masaje60minTejido profundoCOLINA</v>
      </c>
      <c r="G369" s="1">
        <v>45000</v>
      </c>
      <c r="H369" s="1">
        <v>22689.0756302521</v>
      </c>
    </row>
    <row r="370" spans="1:8" ht="14.25" customHeight="1">
      <c r="A370" s="3" t="s">
        <v>82</v>
      </c>
      <c r="B370" s="3" t="s">
        <v>83</v>
      </c>
      <c r="C370" s="3" t="s">
        <v>146</v>
      </c>
      <c r="D370" s="3" t="s">
        <v>123</v>
      </c>
      <c r="E370" s="3" t="s">
        <v>101</v>
      </c>
      <c r="F370" s="3" t="str">
        <f t="shared" si="1"/>
        <v>Masaje90minTejido profundoCOLINA</v>
      </c>
      <c r="G370" s="1">
        <v>63000</v>
      </c>
      <c r="H370" s="1">
        <v>31765</v>
      </c>
    </row>
    <row r="371" spans="1:8" ht="14.25" customHeight="1">
      <c r="A371" s="3" t="s">
        <v>82</v>
      </c>
      <c r="B371" s="3" t="s">
        <v>83</v>
      </c>
      <c r="C371" s="3" t="s">
        <v>120</v>
      </c>
      <c r="D371" s="3" t="s">
        <v>123</v>
      </c>
      <c r="E371" s="3" t="s">
        <v>101</v>
      </c>
      <c r="F371" s="3" t="str">
        <f t="shared" si="1"/>
        <v>Masaje120minTejido profundoCOLINA</v>
      </c>
      <c r="G371" s="1">
        <v>76000</v>
      </c>
      <c r="H371" s="1">
        <v>38319.327731092439</v>
      </c>
    </row>
    <row r="372" spans="1:8" ht="14.25" customHeight="1">
      <c r="A372" s="3" t="s">
        <v>82</v>
      </c>
      <c r="B372" s="3" t="s">
        <v>83</v>
      </c>
      <c r="C372" s="3" t="s">
        <v>84</v>
      </c>
      <c r="D372" s="3" t="s">
        <v>150</v>
      </c>
      <c r="E372" s="3" t="s">
        <v>101</v>
      </c>
      <c r="F372" s="3" t="str">
        <f t="shared" si="1"/>
        <v>Masaje60minDeportivoCOLINA</v>
      </c>
      <c r="G372" s="1">
        <v>45000</v>
      </c>
      <c r="H372" s="1">
        <v>22689.0756302521</v>
      </c>
    </row>
    <row r="373" spans="1:8" ht="14.25" customHeight="1">
      <c r="A373" s="3" t="s">
        <v>82</v>
      </c>
      <c r="B373" s="3" t="s">
        <v>83</v>
      </c>
      <c r="C373" s="3" t="s">
        <v>146</v>
      </c>
      <c r="D373" s="3" t="s">
        <v>150</v>
      </c>
      <c r="E373" s="3" t="s">
        <v>101</v>
      </c>
      <c r="F373" s="3" t="str">
        <f t="shared" si="1"/>
        <v>Masaje90minDeportivoCOLINA</v>
      </c>
      <c r="G373" s="1">
        <v>63000</v>
      </c>
      <c r="H373" s="1">
        <v>31765</v>
      </c>
    </row>
    <row r="374" spans="1:8" ht="14.25" customHeight="1">
      <c r="A374" s="3" t="s">
        <v>82</v>
      </c>
      <c r="B374" s="3" t="s">
        <v>83</v>
      </c>
      <c r="C374" s="3" t="s">
        <v>120</v>
      </c>
      <c r="D374" s="3" t="s">
        <v>150</v>
      </c>
      <c r="E374" s="3" t="s">
        <v>101</v>
      </c>
      <c r="F374" s="3" t="str">
        <f t="shared" si="1"/>
        <v>Masaje120minDeportivoCOLINA</v>
      </c>
      <c r="G374" s="1">
        <v>76000</v>
      </c>
      <c r="H374" s="1">
        <v>38319.327731092439</v>
      </c>
    </row>
    <row r="375" spans="1:8" ht="14.25" customHeight="1">
      <c r="A375" s="3" t="s">
        <v>82</v>
      </c>
      <c r="B375" s="3" t="s">
        <v>119</v>
      </c>
      <c r="C375" s="3" t="s">
        <v>84</v>
      </c>
      <c r="D375" s="3" t="s">
        <v>85</v>
      </c>
      <c r="E375" s="3" t="s">
        <v>101</v>
      </c>
      <c r="F375" s="3" t="str">
        <f t="shared" si="1"/>
        <v>Masaje60minRelajanteCOLINA</v>
      </c>
      <c r="G375" s="1">
        <v>45000</v>
      </c>
      <c r="H375" s="1">
        <v>22689</v>
      </c>
    </row>
    <row r="376" spans="1:8" ht="14.25" customHeight="1">
      <c r="A376" s="3" t="s">
        <v>82</v>
      </c>
      <c r="B376" s="3" t="s">
        <v>119</v>
      </c>
      <c r="C376" s="3" t="s">
        <v>146</v>
      </c>
      <c r="D376" s="3" t="s">
        <v>85</v>
      </c>
      <c r="E376" s="3" t="s">
        <v>101</v>
      </c>
      <c r="F376" s="3" t="str">
        <f t="shared" si="1"/>
        <v>Masaje90minRelajanteCOLINA</v>
      </c>
      <c r="G376" s="1">
        <v>63000</v>
      </c>
      <c r="H376" s="1">
        <v>31765</v>
      </c>
    </row>
    <row r="377" spans="1:8" ht="14.25" customHeight="1">
      <c r="A377" s="3" t="s">
        <v>82</v>
      </c>
      <c r="B377" s="3" t="s">
        <v>119</v>
      </c>
      <c r="C377" s="3" t="s">
        <v>120</v>
      </c>
      <c r="D377" s="3" t="s">
        <v>85</v>
      </c>
      <c r="E377" s="3" t="s">
        <v>101</v>
      </c>
      <c r="F377" s="3" t="str">
        <f t="shared" si="1"/>
        <v>Masaje120minRelajanteCOLINA</v>
      </c>
      <c r="G377" s="1">
        <v>76000</v>
      </c>
      <c r="H377" s="1">
        <v>38319</v>
      </c>
    </row>
    <row r="378" spans="1:8" ht="14.25" customHeight="1">
      <c r="A378" s="3" t="s">
        <v>82</v>
      </c>
      <c r="B378" s="3" t="s">
        <v>119</v>
      </c>
      <c r="C378" s="3" t="s">
        <v>84</v>
      </c>
      <c r="D378" s="3" t="s">
        <v>100</v>
      </c>
      <c r="E378" s="3" t="s">
        <v>101</v>
      </c>
      <c r="F378" s="3" t="str">
        <f t="shared" si="1"/>
        <v>Masaje60minPrenatalCOLINA</v>
      </c>
      <c r="G378" s="1">
        <v>45000</v>
      </c>
      <c r="H378" s="1">
        <v>22689</v>
      </c>
    </row>
    <row r="379" spans="1:8" ht="14.25" customHeight="1">
      <c r="A379" s="3" t="s">
        <v>82</v>
      </c>
      <c r="B379" s="3" t="s">
        <v>119</v>
      </c>
      <c r="C379" s="3" t="s">
        <v>146</v>
      </c>
      <c r="D379" s="3" t="s">
        <v>100</v>
      </c>
      <c r="E379" s="3" t="s">
        <v>101</v>
      </c>
      <c r="F379" s="3" t="str">
        <f t="shared" si="1"/>
        <v>Masaje90minPrenatalCOLINA</v>
      </c>
      <c r="G379" s="1">
        <v>63000</v>
      </c>
      <c r="H379" s="1">
        <v>31765</v>
      </c>
    </row>
    <row r="380" spans="1:8" ht="14.25" customHeight="1">
      <c r="A380" s="3" t="s">
        <v>82</v>
      </c>
      <c r="B380" s="3" t="s">
        <v>119</v>
      </c>
      <c r="C380" s="3" t="s">
        <v>120</v>
      </c>
      <c r="D380" s="3" t="s">
        <v>100</v>
      </c>
      <c r="E380" s="3" t="s">
        <v>101</v>
      </c>
      <c r="F380" s="3" t="str">
        <f t="shared" si="1"/>
        <v>Masaje120minPrenatalCOLINA</v>
      </c>
      <c r="G380" s="1">
        <v>76000</v>
      </c>
      <c r="H380" s="1">
        <v>38319</v>
      </c>
    </row>
    <row r="381" spans="1:8" ht="14.25" customHeight="1">
      <c r="A381" s="3" t="s">
        <v>82</v>
      </c>
      <c r="B381" s="3" t="s">
        <v>119</v>
      </c>
      <c r="C381" s="3" t="s">
        <v>84</v>
      </c>
      <c r="D381" s="3" t="s">
        <v>123</v>
      </c>
      <c r="E381" s="3" t="s">
        <v>101</v>
      </c>
      <c r="F381" s="3" t="str">
        <f t="shared" si="1"/>
        <v>Masaje60minTejido profundoCOLINA</v>
      </c>
      <c r="G381" s="1">
        <v>45000</v>
      </c>
      <c r="H381" s="1">
        <v>22689.0756302521</v>
      </c>
    </row>
    <row r="382" spans="1:8" ht="14.25" customHeight="1">
      <c r="A382" s="3" t="s">
        <v>82</v>
      </c>
      <c r="B382" s="3" t="s">
        <v>119</v>
      </c>
      <c r="C382" s="3" t="s">
        <v>146</v>
      </c>
      <c r="D382" s="3" t="s">
        <v>123</v>
      </c>
      <c r="E382" s="3" t="s">
        <v>101</v>
      </c>
      <c r="F382" s="3" t="str">
        <f t="shared" si="1"/>
        <v>Masaje90minTejido profundoCOLINA</v>
      </c>
      <c r="G382" s="1">
        <v>63000</v>
      </c>
      <c r="H382" s="1">
        <v>31765</v>
      </c>
    </row>
    <row r="383" spans="1:8" ht="14.25" customHeight="1">
      <c r="A383" s="3" t="s">
        <v>82</v>
      </c>
      <c r="B383" s="3" t="s">
        <v>119</v>
      </c>
      <c r="C383" s="3" t="s">
        <v>120</v>
      </c>
      <c r="D383" s="3" t="s">
        <v>123</v>
      </c>
      <c r="E383" s="3" t="s">
        <v>101</v>
      </c>
      <c r="F383" s="3" t="str">
        <f t="shared" si="1"/>
        <v>Masaje120minTejido profundoCOLINA</v>
      </c>
      <c r="G383" s="1">
        <v>76000</v>
      </c>
      <c r="H383" s="1">
        <v>38319.327731092439</v>
      </c>
    </row>
    <row r="384" spans="1:8" ht="14.25" customHeight="1">
      <c r="A384" s="3" t="s">
        <v>82</v>
      </c>
      <c r="B384" s="3" t="s">
        <v>119</v>
      </c>
      <c r="C384" s="3" t="s">
        <v>84</v>
      </c>
      <c r="D384" s="3" t="s">
        <v>150</v>
      </c>
      <c r="E384" s="3" t="s">
        <v>101</v>
      </c>
      <c r="F384" s="3" t="str">
        <f t="shared" si="1"/>
        <v>Masaje60minDeportivoCOLINA</v>
      </c>
      <c r="G384" s="1">
        <v>45000</v>
      </c>
      <c r="H384" s="1">
        <v>22689.0756302521</v>
      </c>
    </row>
    <row r="385" spans="1:8" ht="14.25" customHeight="1">
      <c r="A385" s="3" t="s">
        <v>82</v>
      </c>
      <c r="B385" s="3" t="s">
        <v>119</v>
      </c>
      <c r="C385" s="3" t="s">
        <v>146</v>
      </c>
      <c r="D385" s="3" t="s">
        <v>150</v>
      </c>
      <c r="E385" s="3" t="s">
        <v>101</v>
      </c>
      <c r="F385" s="3" t="str">
        <f t="shared" si="1"/>
        <v>Masaje90minDeportivoCOLINA</v>
      </c>
      <c r="G385" s="1">
        <v>63000</v>
      </c>
      <c r="H385" s="1">
        <v>31765</v>
      </c>
    </row>
    <row r="386" spans="1:8" ht="14.25" customHeight="1">
      <c r="A386" s="3" t="s">
        <v>82</v>
      </c>
      <c r="B386" s="3" t="s">
        <v>119</v>
      </c>
      <c r="C386" s="3" t="s">
        <v>120</v>
      </c>
      <c r="D386" s="3" t="s">
        <v>150</v>
      </c>
      <c r="E386" s="3" t="s">
        <v>101</v>
      </c>
      <c r="F386" s="3" t="str">
        <f t="shared" si="1"/>
        <v>Masaje120minDeportivoCOLINA</v>
      </c>
      <c r="G386" s="1">
        <v>76000</v>
      </c>
      <c r="H386" s="1">
        <v>38319.327731092439</v>
      </c>
    </row>
    <row r="387" spans="1:8" ht="14.25" customHeight="1">
      <c r="A387" s="3" t="s">
        <v>137</v>
      </c>
      <c r="B387" s="3" t="s">
        <v>83</v>
      </c>
      <c r="C387" s="3" t="s">
        <v>84</v>
      </c>
      <c r="D387" s="3" t="s">
        <v>138</v>
      </c>
      <c r="E387" s="3" t="s">
        <v>101</v>
      </c>
      <c r="F387" s="3" t="str">
        <f t="shared" si="1"/>
        <v>Facial60minHidratación ProfundaCOLINA</v>
      </c>
      <c r="G387" s="1">
        <v>60000</v>
      </c>
      <c r="H387" s="1">
        <v>30252</v>
      </c>
    </row>
    <row r="388" spans="1:8" ht="14.25" customHeight="1">
      <c r="A388" s="3" t="s">
        <v>137</v>
      </c>
      <c r="B388" s="3" t="s">
        <v>83</v>
      </c>
      <c r="C388" s="3" t="s">
        <v>84</v>
      </c>
      <c r="D388" s="3" t="s">
        <v>200</v>
      </c>
      <c r="E388" s="3" t="s">
        <v>101</v>
      </c>
      <c r="F388" s="3" t="str">
        <f t="shared" si="1"/>
        <v>Facial60minLimpieza ProfundaCOLINA</v>
      </c>
      <c r="G388" s="1">
        <v>60000</v>
      </c>
      <c r="H388" s="1">
        <v>30252</v>
      </c>
    </row>
    <row r="389" spans="1:8" ht="14.25" customHeight="1">
      <c r="A389" s="3" t="s">
        <v>137</v>
      </c>
      <c r="B389" s="3" t="s">
        <v>83</v>
      </c>
      <c r="C389" s="3" t="s">
        <v>84</v>
      </c>
      <c r="D389" s="3" t="s">
        <v>201</v>
      </c>
      <c r="E389" s="3" t="s">
        <v>101</v>
      </c>
      <c r="F389" s="3" t="str">
        <f t="shared" si="1"/>
        <v>Facial60minTeen GermaineCOLINA</v>
      </c>
      <c r="G389" s="1">
        <v>60000</v>
      </c>
      <c r="H389" s="1">
        <v>30252</v>
      </c>
    </row>
    <row r="390" spans="1:8" ht="14.25" customHeight="1">
      <c r="A390" s="3" t="s">
        <v>137</v>
      </c>
      <c r="B390" s="3" t="s">
        <v>83</v>
      </c>
      <c r="C390" s="3" t="s">
        <v>84</v>
      </c>
      <c r="D390" s="3" t="s">
        <v>202</v>
      </c>
      <c r="E390" s="3" t="s">
        <v>101</v>
      </c>
      <c r="F390" s="3" t="str">
        <f t="shared" si="1"/>
        <v>Facial60minThe ultimate grooming facial FOR HIMCOLINA</v>
      </c>
      <c r="G390" s="1">
        <v>60000</v>
      </c>
      <c r="H390" s="1">
        <v>30252</v>
      </c>
    </row>
    <row r="391" spans="1:8" ht="14.25" customHeight="1">
      <c r="A391" s="3" t="s">
        <v>163</v>
      </c>
      <c r="B391" s="3" t="s">
        <v>83</v>
      </c>
      <c r="C391" s="3" t="s">
        <v>84</v>
      </c>
      <c r="D391" s="3" t="s">
        <v>203</v>
      </c>
      <c r="E391" s="3" t="s">
        <v>101</v>
      </c>
      <c r="F391" s="3" t="str">
        <f t="shared" si="1"/>
        <v>Facial + Masaje60minHidratación Profunda + RelajanteCOLINA</v>
      </c>
      <c r="G391" s="1">
        <v>95000</v>
      </c>
      <c r="H391" s="1">
        <v>47889</v>
      </c>
    </row>
    <row r="392" spans="1:8" ht="14.25" customHeight="1">
      <c r="A392" s="3" t="s">
        <v>163</v>
      </c>
      <c r="B392" s="3" t="s">
        <v>83</v>
      </c>
      <c r="C392" s="3" t="s">
        <v>84</v>
      </c>
      <c r="D392" s="3" t="s">
        <v>204</v>
      </c>
      <c r="E392" s="3" t="s">
        <v>101</v>
      </c>
      <c r="F392" s="3" t="str">
        <f t="shared" si="1"/>
        <v>Facial + Masaje60minHidratación Profunda + PrenatalCOLINA</v>
      </c>
      <c r="G392" s="1">
        <v>95000</v>
      </c>
      <c r="H392" s="1">
        <v>47889</v>
      </c>
    </row>
    <row r="393" spans="1:8" ht="14.25" customHeight="1">
      <c r="A393" s="3" t="s">
        <v>163</v>
      </c>
      <c r="B393" s="3" t="s">
        <v>83</v>
      </c>
      <c r="C393" s="3" t="s">
        <v>84</v>
      </c>
      <c r="D393" s="3" t="s">
        <v>205</v>
      </c>
      <c r="E393" s="3" t="s">
        <v>101</v>
      </c>
      <c r="F393" s="3" t="str">
        <f t="shared" si="1"/>
        <v>Facial + Masaje60minHidratación Profunda + Tejido profundoCOLINA</v>
      </c>
      <c r="G393" s="1">
        <v>95000</v>
      </c>
      <c r="H393" s="1">
        <v>47889</v>
      </c>
    </row>
    <row r="394" spans="1:8" ht="14.25" customHeight="1">
      <c r="A394" s="3" t="s">
        <v>163</v>
      </c>
      <c r="B394" s="3" t="s">
        <v>83</v>
      </c>
      <c r="C394" s="3" t="s">
        <v>84</v>
      </c>
      <c r="D394" s="3" t="s">
        <v>206</v>
      </c>
      <c r="E394" s="3" t="s">
        <v>101</v>
      </c>
      <c r="F394" s="3" t="str">
        <f t="shared" si="1"/>
        <v>Facial + Masaje60minHidratación Profunda + DeportivoCOLINA</v>
      </c>
      <c r="G394" s="1">
        <v>95000</v>
      </c>
      <c r="H394" s="1">
        <v>47889</v>
      </c>
    </row>
    <row r="395" spans="1:8" ht="14.25" customHeight="1">
      <c r="A395" s="3" t="s">
        <v>163</v>
      </c>
      <c r="B395" s="3" t="s">
        <v>83</v>
      </c>
      <c r="C395" s="3" t="s">
        <v>146</v>
      </c>
      <c r="D395" s="3" t="s">
        <v>203</v>
      </c>
      <c r="E395" s="3" t="s">
        <v>101</v>
      </c>
      <c r="F395" s="3" t="str">
        <f t="shared" si="1"/>
        <v>Facial + Masaje90minHidratación Profunda + RelajanteCOLINA</v>
      </c>
      <c r="G395" s="1">
        <v>115000</v>
      </c>
      <c r="H395" s="1">
        <v>57983</v>
      </c>
    </row>
    <row r="396" spans="1:8" ht="14.25" customHeight="1">
      <c r="A396" s="3" t="s">
        <v>163</v>
      </c>
      <c r="B396" s="3" t="s">
        <v>83</v>
      </c>
      <c r="C396" s="3" t="s">
        <v>146</v>
      </c>
      <c r="D396" s="3" t="s">
        <v>247</v>
      </c>
      <c r="E396" s="3" t="s">
        <v>101</v>
      </c>
      <c r="F396" s="3" t="str">
        <f t="shared" si="1"/>
        <v>Facial + Masaje90minHidratación Profunda + Prenatal COLINA</v>
      </c>
      <c r="G396" s="1">
        <v>115000</v>
      </c>
      <c r="H396" s="1">
        <v>57983</v>
      </c>
    </row>
    <row r="397" spans="1:8" ht="14.25" customHeight="1">
      <c r="A397" s="3" t="s">
        <v>163</v>
      </c>
      <c r="B397" s="3" t="s">
        <v>83</v>
      </c>
      <c r="C397" s="3" t="s">
        <v>146</v>
      </c>
      <c r="D397" s="3" t="s">
        <v>248</v>
      </c>
      <c r="E397" s="3" t="s">
        <v>101</v>
      </c>
      <c r="F397" s="3" t="str">
        <f t="shared" si="1"/>
        <v>Facial + Masaje90minHidratación Profunda + Tejido profundo COLINA</v>
      </c>
      <c r="G397" s="1">
        <v>115000</v>
      </c>
      <c r="H397" s="1">
        <v>57983</v>
      </c>
    </row>
    <row r="398" spans="1:8" ht="14.25" customHeight="1">
      <c r="A398" s="3" t="s">
        <v>163</v>
      </c>
      <c r="B398" s="3" t="s">
        <v>83</v>
      </c>
      <c r="C398" s="3" t="s">
        <v>146</v>
      </c>
      <c r="D398" s="3" t="s">
        <v>249</v>
      </c>
      <c r="E398" s="3" t="s">
        <v>101</v>
      </c>
      <c r="F398" s="3" t="str">
        <f t="shared" si="1"/>
        <v>Facial + Masaje90minHidratación Profunda + Deportivo COLINA</v>
      </c>
      <c r="G398" s="1">
        <v>115000</v>
      </c>
      <c r="H398" s="1">
        <v>57983</v>
      </c>
    </row>
    <row r="399" spans="1:8" ht="14.25" customHeight="1">
      <c r="A399" s="3" t="s">
        <v>163</v>
      </c>
      <c r="B399" s="3" t="s">
        <v>83</v>
      </c>
      <c r="C399" s="3" t="s">
        <v>146</v>
      </c>
      <c r="D399" s="3" t="s">
        <v>250</v>
      </c>
      <c r="E399" s="3" t="s">
        <v>101</v>
      </c>
      <c r="F399" s="3" t="str">
        <f t="shared" si="1"/>
        <v>Facial + Masaje90minLimpieza Profunda + Relajante COLINA</v>
      </c>
      <c r="G399" s="1">
        <v>115000</v>
      </c>
      <c r="H399" s="1">
        <v>57983</v>
      </c>
    </row>
    <row r="400" spans="1:8" ht="14.25" customHeight="1">
      <c r="A400" s="3" t="s">
        <v>163</v>
      </c>
      <c r="B400" s="3" t="s">
        <v>83</v>
      </c>
      <c r="C400" s="3" t="s">
        <v>84</v>
      </c>
      <c r="D400" s="3" t="s">
        <v>251</v>
      </c>
      <c r="E400" s="3" t="s">
        <v>199</v>
      </c>
      <c r="F400" s="3" t="str">
        <f t="shared" si="1"/>
        <v>Facial + Masaje60minLimpieza Profunda + Tejido profundoORIENTE</v>
      </c>
      <c r="G400" s="1">
        <v>95000</v>
      </c>
      <c r="H400" s="1">
        <v>47889</v>
      </c>
    </row>
    <row r="401" spans="1:8" ht="14.25" customHeight="1">
      <c r="A401" s="3" t="s">
        <v>163</v>
      </c>
      <c r="B401" s="3" t="s">
        <v>83</v>
      </c>
      <c r="C401" s="3" t="s">
        <v>84</v>
      </c>
      <c r="D401" s="3" t="s">
        <v>252</v>
      </c>
      <c r="E401" s="3" t="s">
        <v>208</v>
      </c>
      <c r="F401" s="3" t="str">
        <f t="shared" si="1"/>
        <v>Facial + Masaje60minLimpieza Profunda + Tejido profundo 60 MINPONIENTE</v>
      </c>
      <c r="G401" s="1">
        <v>95000</v>
      </c>
      <c r="H401" s="1">
        <v>47889</v>
      </c>
    </row>
    <row r="402" spans="1:8" ht="14.25" customHeight="1">
      <c r="A402" s="3" t="s">
        <v>163</v>
      </c>
      <c r="B402" s="3" t="s">
        <v>83</v>
      </c>
      <c r="C402" s="3" t="s">
        <v>84</v>
      </c>
      <c r="D402" s="3" t="s">
        <v>252</v>
      </c>
      <c r="E402" s="3" t="s">
        <v>209</v>
      </c>
      <c r="F402" s="3" t="str">
        <f t="shared" si="1"/>
        <v>Facial + Masaje60minLimpieza Profunda + Tejido profundo 60 MINNORTE</v>
      </c>
      <c r="G402" s="1">
        <v>95000</v>
      </c>
      <c r="H402" s="1">
        <v>47889</v>
      </c>
    </row>
    <row r="403" spans="1:8" ht="14.25" customHeight="1">
      <c r="A403" s="3" t="s">
        <v>163</v>
      </c>
      <c r="B403" s="3" t="s">
        <v>83</v>
      </c>
      <c r="C403" s="3" t="s">
        <v>84</v>
      </c>
      <c r="D403" s="3" t="s">
        <v>252</v>
      </c>
      <c r="E403" s="3" t="s">
        <v>210</v>
      </c>
      <c r="F403" s="3" t="str">
        <f t="shared" si="1"/>
        <v>Facial + Masaje60minLimpieza Profunda + Tejido profundo 60 MINSUR</v>
      </c>
      <c r="G403" s="1">
        <v>95000</v>
      </c>
      <c r="H403" s="1">
        <v>47889</v>
      </c>
    </row>
    <row r="404" spans="1:8" ht="14.25" customHeight="1">
      <c r="A404" s="3" t="s">
        <v>163</v>
      </c>
      <c r="B404" s="3" t="s">
        <v>83</v>
      </c>
      <c r="C404" s="3" t="s">
        <v>84</v>
      </c>
      <c r="D404" s="3" t="s">
        <v>252</v>
      </c>
      <c r="E404" s="3" t="s">
        <v>211</v>
      </c>
      <c r="F404" s="3" t="str">
        <f t="shared" si="1"/>
        <v>Facial + Masaje60minLimpieza Profunda + Tejido profundo 60 MINZONA COSTA</v>
      </c>
      <c r="G404" s="1">
        <v>95000</v>
      </c>
      <c r="H404" s="1">
        <v>47889</v>
      </c>
    </row>
    <row r="405" spans="1:8" ht="14.25" customHeight="1">
      <c r="A405" s="3" t="s">
        <v>163</v>
      </c>
      <c r="B405" s="3" t="s">
        <v>83</v>
      </c>
      <c r="C405" s="3" t="s">
        <v>84</v>
      </c>
      <c r="D405" s="3" t="s">
        <v>252</v>
      </c>
      <c r="E405" s="3" t="s">
        <v>108</v>
      </c>
      <c r="F405" s="3" t="str">
        <f t="shared" si="1"/>
        <v>Facial + Masaje60minLimpieza Profunda + Tejido profundo 60 MINLO BARNECHEA</v>
      </c>
      <c r="G405" s="1">
        <v>95000</v>
      </c>
      <c r="H405" s="1">
        <v>47889</v>
      </c>
    </row>
    <row r="406" spans="1:8" ht="14.25" customHeight="1">
      <c r="A406" s="3" t="s">
        <v>163</v>
      </c>
      <c r="B406" s="3" t="s">
        <v>83</v>
      </c>
      <c r="C406" s="3" t="s">
        <v>84</v>
      </c>
      <c r="D406" s="3" t="s">
        <v>251</v>
      </c>
      <c r="E406" s="3" t="s">
        <v>101</v>
      </c>
      <c r="F406" s="3" t="str">
        <f t="shared" si="1"/>
        <v>Facial + Masaje60minLimpieza Profunda + Tejido profundoCOLINA</v>
      </c>
      <c r="G406" s="1">
        <v>95000</v>
      </c>
      <c r="H406" s="1">
        <v>47889</v>
      </c>
    </row>
    <row r="407" spans="1:8" ht="14.25" customHeight="1">
      <c r="A407" s="3" t="s">
        <v>163</v>
      </c>
      <c r="B407" s="3" t="s">
        <v>83</v>
      </c>
      <c r="C407" s="3" t="s">
        <v>84</v>
      </c>
      <c r="D407" s="3" t="s">
        <v>253</v>
      </c>
      <c r="E407" s="3" t="s">
        <v>101</v>
      </c>
      <c r="F407" s="3" t="str">
        <f t="shared" si="1"/>
        <v>Facial + Masaje60minTeen Germaine + Relajante COLINA</v>
      </c>
      <c r="G407" s="1">
        <v>95000</v>
      </c>
      <c r="H407" s="1">
        <v>47889</v>
      </c>
    </row>
    <row r="408" spans="1:8" ht="14.25" customHeight="1">
      <c r="A408" s="3" t="s">
        <v>163</v>
      </c>
      <c r="B408" s="3" t="s">
        <v>83</v>
      </c>
      <c r="C408" s="3" t="s">
        <v>84</v>
      </c>
      <c r="D408" s="3" t="s">
        <v>254</v>
      </c>
      <c r="E408" s="3" t="s">
        <v>101</v>
      </c>
      <c r="F408" s="3" t="str">
        <f t="shared" si="1"/>
        <v>Facial + Masaje60minTeen Germaine + Prenatal COLINA</v>
      </c>
      <c r="G408" s="1">
        <v>95000</v>
      </c>
      <c r="H408" s="1">
        <v>47889</v>
      </c>
    </row>
    <row r="409" spans="1:8" ht="14.25" customHeight="1">
      <c r="A409" s="3" t="s">
        <v>163</v>
      </c>
      <c r="B409" s="3" t="s">
        <v>83</v>
      </c>
      <c r="C409" s="3" t="s">
        <v>84</v>
      </c>
      <c r="D409" s="3" t="s">
        <v>255</v>
      </c>
      <c r="E409" s="3" t="s">
        <v>101</v>
      </c>
      <c r="F409" s="3" t="str">
        <f t="shared" si="1"/>
        <v>Facial + Masaje60minTeen Germaine + Tejido profundo COLINA</v>
      </c>
      <c r="G409" s="1">
        <v>95000</v>
      </c>
      <c r="H409" s="1">
        <v>47889</v>
      </c>
    </row>
    <row r="410" spans="1:8" ht="14.25" customHeight="1">
      <c r="A410" s="3" t="s">
        <v>163</v>
      </c>
      <c r="B410" s="3" t="s">
        <v>83</v>
      </c>
      <c r="C410" s="3" t="s">
        <v>84</v>
      </c>
      <c r="D410" s="3" t="s">
        <v>256</v>
      </c>
      <c r="E410" s="3" t="s">
        <v>101</v>
      </c>
      <c r="F410" s="3" t="str">
        <f t="shared" si="1"/>
        <v>Facial + Masaje60minTeen Germaine + Deportivo COLINA</v>
      </c>
      <c r="G410" s="1">
        <v>95000</v>
      </c>
      <c r="H410" s="1">
        <v>47889</v>
      </c>
    </row>
    <row r="411" spans="1:8" ht="14.25" customHeight="1">
      <c r="A411" s="3" t="s">
        <v>163</v>
      </c>
      <c r="B411" s="3" t="s">
        <v>83</v>
      </c>
      <c r="C411" s="3" t="s">
        <v>146</v>
      </c>
      <c r="D411" s="3" t="s">
        <v>253</v>
      </c>
      <c r="E411" s="3" t="s">
        <v>101</v>
      </c>
      <c r="F411" s="3" t="str">
        <f t="shared" si="1"/>
        <v>Facial + Masaje90minTeen Germaine + Relajante COLINA</v>
      </c>
      <c r="G411" s="1">
        <v>115000</v>
      </c>
      <c r="H411" s="1">
        <v>57983</v>
      </c>
    </row>
    <row r="412" spans="1:8" ht="14.25" customHeight="1">
      <c r="A412" s="3" t="s">
        <v>163</v>
      </c>
      <c r="B412" s="3" t="s">
        <v>83</v>
      </c>
      <c r="C412" s="3" t="s">
        <v>146</v>
      </c>
      <c r="D412" s="3" t="s">
        <v>254</v>
      </c>
      <c r="E412" s="3" t="s">
        <v>101</v>
      </c>
      <c r="F412" s="3" t="str">
        <f t="shared" si="1"/>
        <v>Facial + Masaje90minTeen Germaine + Prenatal COLINA</v>
      </c>
      <c r="G412" s="1">
        <v>115000</v>
      </c>
      <c r="H412" s="1">
        <v>57983</v>
      </c>
    </row>
    <row r="413" spans="1:8" ht="14.25" customHeight="1">
      <c r="A413" s="3" t="s">
        <v>163</v>
      </c>
      <c r="B413" s="3" t="s">
        <v>83</v>
      </c>
      <c r="C413" s="3" t="s">
        <v>146</v>
      </c>
      <c r="D413" s="3" t="s">
        <v>255</v>
      </c>
      <c r="E413" s="3" t="s">
        <v>101</v>
      </c>
      <c r="F413" s="3" t="str">
        <f t="shared" si="1"/>
        <v>Facial + Masaje90minTeen Germaine + Tejido profundo COLINA</v>
      </c>
      <c r="G413" s="1">
        <v>115000</v>
      </c>
      <c r="H413" s="1">
        <v>57983</v>
      </c>
    </row>
    <row r="414" spans="1:8" ht="14.25" customHeight="1">
      <c r="A414" s="3" t="s">
        <v>163</v>
      </c>
      <c r="B414" s="3" t="s">
        <v>83</v>
      </c>
      <c r="C414" s="3" t="s">
        <v>146</v>
      </c>
      <c r="D414" s="3" t="s">
        <v>256</v>
      </c>
      <c r="E414" s="3" t="s">
        <v>101</v>
      </c>
      <c r="F414" s="3" t="str">
        <f t="shared" si="1"/>
        <v>Facial + Masaje90minTeen Germaine + Deportivo COLINA</v>
      </c>
      <c r="G414" s="1">
        <v>115000</v>
      </c>
      <c r="H414" s="1">
        <v>57983</v>
      </c>
    </row>
    <row r="415" spans="1:8" ht="14.25" customHeight="1">
      <c r="A415" s="3" t="s">
        <v>163</v>
      </c>
      <c r="B415" s="3" t="s">
        <v>83</v>
      </c>
      <c r="C415" s="3" t="s">
        <v>84</v>
      </c>
      <c r="D415" s="3" t="s">
        <v>217</v>
      </c>
      <c r="E415" s="3" t="s">
        <v>101</v>
      </c>
      <c r="F415" s="3" t="str">
        <f t="shared" si="1"/>
        <v>Facial + Masaje60minFacial para él + RelajanteCOLINA</v>
      </c>
      <c r="G415" s="1">
        <v>95000</v>
      </c>
      <c r="H415" s="1">
        <v>47889</v>
      </c>
    </row>
    <row r="416" spans="1:8" ht="14.25" customHeight="1">
      <c r="A416" s="3" t="s">
        <v>163</v>
      </c>
      <c r="B416" s="3" t="s">
        <v>83</v>
      </c>
      <c r="C416" s="3" t="s">
        <v>84</v>
      </c>
      <c r="D416" s="3" t="s">
        <v>218</v>
      </c>
      <c r="E416" s="3" t="s">
        <v>101</v>
      </c>
      <c r="F416" s="3" t="str">
        <f t="shared" si="1"/>
        <v>Facial + Masaje60minFacial para él  + PrenatalCOLINA</v>
      </c>
      <c r="G416" s="1">
        <v>95000</v>
      </c>
      <c r="H416" s="1">
        <v>47889</v>
      </c>
    </row>
    <row r="417" spans="1:8" ht="14.25" customHeight="1">
      <c r="A417" s="3" t="s">
        <v>163</v>
      </c>
      <c r="B417" s="3" t="s">
        <v>83</v>
      </c>
      <c r="C417" s="3" t="s">
        <v>84</v>
      </c>
      <c r="D417" s="3" t="s">
        <v>219</v>
      </c>
      <c r="E417" s="3" t="s">
        <v>101</v>
      </c>
      <c r="F417" s="3" t="str">
        <f t="shared" si="1"/>
        <v>Facial + Masaje60minFacial para él + Tejido profundoCOLINA</v>
      </c>
      <c r="G417" s="1">
        <v>95000</v>
      </c>
      <c r="H417" s="1">
        <v>47889</v>
      </c>
    </row>
    <row r="418" spans="1:8" ht="14.25" customHeight="1">
      <c r="A418" s="3" t="s">
        <v>163</v>
      </c>
      <c r="B418" s="3" t="s">
        <v>83</v>
      </c>
      <c r="C418" s="3" t="s">
        <v>84</v>
      </c>
      <c r="D418" s="3" t="s">
        <v>220</v>
      </c>
      <c r="E418" s="3" t="s">
        <v>101</v>
      </c>
      <c r="F418" s="3" t="str">
        <f t="shared" si="1"/>
        <v>Facial + Masaje60minFacial para él  + DeportivoCOLINA</v>
      </c>
      <c r="G418" s="1">
        <v>95000</v>
      </c>
      <c r="H418" s="1">
        <v>47889</v>
      </c>
    </row>
    <row r="419" spans="1:8" ht="14.25" customHeight="1">
      <c r="A419" s="3" t="s">
        <v>163</v>
      </c>
      <c r="B419" s="3" t="s">
        <v>83</v>
      </c>
      <c r="C419" s="3" t="s">
        <v>146</v>
      </c>
      <c r="D419" s="3" t="s">
        <v>257</v>
      </c>
      <c r="E419" s="3" t="s">
        <v>101</v>
      </c>
      <c r="F419" s="3" t="str">
        <f t="shared" si="1"/>
        <v>Facial + Masaje90minFacial para él  + Relajante COLINA</v>
      </c>
      <c r="G419" s="1">
        <v>115000</v>
      </c>
      <c r="H419" s="1">
        <v>57983</v>
      </c>
    </row>
    <row r="420" spans="1:8" ht="14.25" customHeight="1">
      <c r="A420" s="3" t="s">
        <v>163</v>
      </c>
      <c r="B420" s="3" t="s">
        <v>83</v>
      </c>
      <c r="C420" s="3" t="s">
        <v>146</v>
      </c>
      <c r="D420" s="3" t="s">
        <v>258</v>
      </c>
      <c r="E420" s="3" t="s">
        <v>101</v>
      </c>
      <c r="F420" s="3" t="str">
        <f t="shared" si="1"/>
        <v>Facial + Masaje90minFacial para él  + Prenatal COLINA</v>
      </c>
      <c r="G420" s="1">
        <v>115000</v>
      </c>
      <c r="H420" s="1">
        <v>57983</v>
      </c>
    </row>
    <row r="421" spans="1:8" ht="14.25" customHeight="1">
      <c r="A421" s="3" t="s">
        <v>163</v>
      </c>
      <c r="B421" s="3" t="s">
        <v>83</v>
      </c>
      <c r="C421" s="3" t="s">
        <v>146</v>
      </c>
      <c r="D421" s="3" t="s">
        <v>259</v>
      </c>
      <c r="E421" s="3" t="s">
        <v>101</v>
      </c>
      <c r="F421" s="3" t="str">
        <f t="shared" si="1"/>
        <v>Facial + Masaje90minFacial para él  + Tejido profundo COLINA</v>
      </c>
      <c r="G421" s="1">
        <v>115000</v>
      </c>
      <c r="H421" s="1">
        <v>57983</v>
      </c>
    </row>
    <row r="422" spans="1:8" ht="14.25" customHeight="1">
      <c r="A422" s="3" t="s">
        <v>163</v>
      </c>
      <c r="B422" s="3" t="s">
        <v>83</v>
      </c>
      <c r="C422" s="3" t="s">
        <v>146</v>
      </c>
      <c r="D422" s="3" t="s">
        <v>260</v>
      </c>
      <c r="E422" s="3" t="s">
        <v>101</v>
      </c>
      <c r="F422" s="3" t="str">
        <f t="shared" si="1"/>
        <v>Facial + Masaje90minFacial para él  + Deportivo COLINA</v>
      </c>
      <c r="G422" s="1">
        <v>115000</v>
      </c>
      <c r="H422" s="1">
        <v>57983</v>
      </c>
    </row>
    <row r="423" spans="1:8" ht="14.25" customHeight="1">
      <c r="A423" s="3" t="s">
        <v>137</v>
      </c>
      <c r="B423" s="3" t="s">
        <v>83</v>
      </c>
      <c r="C423" s="3" t="s">
        <v>84</v>
      </c>
      <c r="D423" s="3" t="s">
        <v>261</v>
      </c>
      <c r="E423" s="3" t="s">
        <v>199</v>
      </c>
      <c r="F423" s="3" t="str">
        <f t="shared" si="1"/>
        <v>Facial60minFacial ISDIN by ScapeORIENTE</v>
      </c>
      <c r="G423" s="1">
        <v>60000</v>
      </c>
      <c r="H423" s="1">
        <v>30252</v>
      </c>
    </row>
    <row r="424" spans="1:8" ht="14.25" customHeight="1">
      <c r="A424" s="3" t="s">
        <v>137</v>
      </c>
      <c r="B424" s="3" t="s">
        <v>83</v>
      </c>
      <c r="C424" s="3" t="s">
        <v>84</v>
      </c>
      <c r="D424" s="3" t="s">
        <v>261</v>
      </c>
      <c r="E424" s="3" t="s">
        <v>208</v>
      </c>
      <c r="F424" s="3" t="str">
        <f t="shared" si="1"/>
        <v>Facial60minFacial ISDIN by ScapePONIENTE</v>
      </c>
      <c r="G424" s="1">
        <v>60000</v>
      </c>
      <c r="H424" s="1">
        <v>30252</v>
      </c>
    </row>
    <row r="425" spans="1:8" ht="14.25" customHeight="1">
      <c r="A425" s="3" t="s">
        <v>137</v>
      </c>
      <c r="B425" s="3" t="s">
        <v>83</v>
      </c>
      <c r="C425" s="3" t="s">
        <v>84</v>
      </c>
      <c r="D425" s="3" t="s">
        <v>261</v>
      </c>
      <c r="E425" s="3" t="s">
        <v>209</v>
      </c>
      <c r="F425" s="3" t="str">
        <f t="shared" si="1"/>
        <v>Facial60minFacial ISDIN by ScapeNORTE</v>
      </c>
      <c r="G425" s="1">
        <v>60000</v>
      </c>
      <c r="H425" s="1">
        <v>30252</v>
      </c>
    </row>
    <row r="426" spans="1:8" ht="14.25" customHeight="1">
      <c r="A426" s="3" t="s">
        <v>137</v>
      </c>
      <c r="B426" s="3" t="s">
        <v>83</v>
      </c>
      <c r="C426" s="3" t="s">
        <v>84</v>
      </c>
      <c r="D426" s="3" t="s">
        <v>261</v>
      </c>
      <c r="E426" s="3" t="s">
        <v>210</v>
      </c>
      <c r="F426" s="3" t="str">
        <f t="shared" si="1"/>
        <v>Facial60minFacial ISDIN by ScapeSUR</v>
      </c>
      <c r="G426" s="1">
        <v>60000</v>
      </c>
      <c r="H426" s="1">
        <v>30252</v>
      </c>
    </row>
    <row r="427" spans="1:8" ht="14.25" customHeight="1">
      <c r="A427" s="3" t="s">
        <v>137</v>
      </c>
      <c r="B427" s="3" t="s">
        <v>83</v>
      </c>
      <c r="C427" s="3" t="s">
        <v>84</v>
      </c>
      <c r="D427" s="3" t="s">
        <v>261</v>
      </c>
      <c r="E427" s="3" t="s">
        <v>211</v>
      </c>
      <c r="F427" s="3" t="str">
        <f t="shared" si="1"/>
        <v>Facial60minFacial ISDIN by ScapeZONA COSTA</v>
      </c>
      <c r="G427" s="1">
        <v>60000</v>
      </c>
      <c r="H427" s="1">
        <v>30252</v>
      </c>
    </row>
    <row r="428" spans="1:8" ht="14.25" customHeight="1">
      <c r="A428" s="3" t="s">
        <v>137</v>
      </c>
      <c r="B428" s="3" t="s">
        <v>83</v>
      </c>
      <c r="C428" s="3" t="s">
        <v>84</v>
      </c>
      <c r="D428" s="3" t="s">
        <v>261</v>
      </c>
      <c r="E428" s="3" t="s">
        <v>108</v>
      </c>
      <c r="F428" s="3" t="str">
        <f t="shared" si="1"/>
        <v>Facial60minFacial ISDIN by ScapeLO BARNECHEA</v>
      </c>
      <c r="G428" s="1">
        <v>60000</v>
      </c>
      <c r="H428" s="1">
        <v>30252</v>
      </c>
    </row>
    <row r="429" spans="1:8" ht="14.25" customHeight="1">
      <c r="A429" s="3" t="s">
        <v>137</v>
      </c>
      <c r="B429" s="3" t="s">
        <v>83</v>
      </c>
      <c r="C429" s="3" t="s">
        <v>84</v>
      </c>
      <c r="D429" s="3" t="s">
        <v>261</v>
      </c>
      <c r="E429" s="3" t="s">
        <v>101</v>
      </c>
      <c r="F429" s="3" t="str">
        <f t="shared" si="1"/>
        <v>Facial60minFacial ISDIN by ScapeCOLINA</v>
      </c>
      <c r="G429" s="1">
        <v>60000</v>
      </c>
      <c r="H429" s="1">
        <v>30252</v>
      </c>
    </row>
    <row r="430" spans="1:8" ht="14.25" customHeight="1">
      <c r="A430" s="3" t="s">
        <v>93</v>
      </c>
      <c r="B430" s="3" t="s">
        <v>262</v>
      </c>
      <c r="C430" s="3" t="s">
        <v>94</v>
      </c>
      <c r="D430" s="3" t="s">
        <v>95</v>
      </c>
      <c r="E430" s="3" t="s">
        <v>199</v>
      </c>
      <c r="F430" s="3" t="str">
        <f t="shared" si="1"/>
        <v>Addon15minReflexologíaORIENTE</v>
      </c>
      <c r="G430" s="1">
        <v>10000</v>
      </c>
      <c r="H430" s="1">
        <v>5042.0168067226896</v>
      </c>
    </row>
    <row r="431" spans="1:8" ht="14.25" customHeight="1">
      <c r="A431" s="3" t="s">
        <v>93</v>
      </c>
      <c r="B431" s="3" t="s">
        <v>262</v>
      </c>
      <c r="C431" s="3" t="s">
        <v>126</v>
      </c>
      <c r="D431" s="3" t="s">
        <v>95</v>
      </c>
      <c r="E431" s="3" t="s">
        <v>199</v>
      </c>
      <c r="F431" s="3" t="str">
        <f t="shared" si="1"/>
        <v>Addon30minReflexologíaORIENTE</v>
      </c>
      <c r="G431" s="1">
        <v>18000</v>
      </c>
      <c r="H431" s="1">
        <v>9075.6302521008402</v>
      </c>
    </row>
    <row r="432" spans="1:8" ht="14.25" customHeight="1">
      <c r="A432" s="3" t="s">
        <v>93</v>
      </c>
      <c r="B432" s="3" t="s">
        <v>262</v>
      </c>
      <c r="C432" s="3" t="s">
        <v>94</v>
      </c>
      <c r="D432" s="3" t="s">
        <v>96</v>
      </c>
      <c r="E432" s="3" t="s">
        <v>199</v>
      </c>
      <c r="F432" s="3" t="str">
        <f t="shared" si="1"/>
        <v>Addon15minCraneofacialORIENTE</v>
      </c>
      <c r="G432" s="1">
        <v>10000</v>
      </c>
      <c r="H432" s="1">
        <v>5042.0168067226896</v>
      </c>
    </row>
    <row r="433" spans="1:8" ht="14.25" customHeight="1">
      <c r="A433" s="3" t="s">
        <v>93</v>
      </c>
      <c r="B433" s="3" t="s">
        <v>262</v>
      </c>
      <c r="C433" s="3" t="s">
        <v>126</v>
      </c>
      <c r="D433" s="3" t="s">
        <v>96</v>
      </c>
      <c r="E433" s="3" t="s">
        <v>199</v>
      </c>
      <c r="F433" s="3" t="str">
        <f t="shared" si="1"/>
        <v>Addon30minCraneofacialORIENTE</v>
      </c>
      <c r="G433" s="1">
        <v>18000</v>
      </c>
      <c r="H433" s="1">
        <v>9075.6302521008402</v>
      </c>
    </row>
    <row r="434" spans="1:8" ht="14.25" customHeight="1">
      <c r="A434" s="3" t="s">
        <v>93</v>
      </c>
      <c r="B434" s="3" t="s">
        <v>262</v>
      </c>
      <c r="C434" s="3" t="s">
        <v>94</v>
      </c>
      <c r="D434" s="3" t="s">
        <v>127</v>
      </c>
      <c r="E434" s="3" t="s">
        <v>199</v>
      </c>
      <c r="F434" s="3" t="str">
        <f t="shared" si="1"/>
        <v>Addon15minMasaje Tiempo ExtraORIENTE</v>
      </c>
      <c r="G434" s="1">
        <v>10000</v>
      </c>
      <c r="H434" s="1">
        <v>5042.0168067226896</v>
      </c>
    </row>
    <row r="435" spans="1:8" ht="14.25" customHeight="1">
      <c r="A435" s="3" t="s">
        <v>93</v>
      </c>
      <c r="B435" s="3" t="s">
        <v>262</v>
      </c>
      <c r="C435" s="3" t="s">
        <v>126</v>
      </c>
      <c r="D435" s="3" t="s">
        <v>127</v>
      </c>
      <c r="E435" s="3" t="s">
        <v>199</v>
      </c>
      <c r="F435" s="3" t="str">
        <f t="shared" si="1"/>
        <v>Addon30minMasaje Tiempo ExtraORIENTE</v>
      </c>
      <c r="G435" s="1">
        <v>18000</v>
      </c>
      <c r="H435" s="1">
        <v>9075.6302521008402</v>
      </c>
    </row>
    <row r="436" spans="1:8" ht="14.25" customHeight="1">
      <c r="A436" s="3" t="s">
        <v>93</v>
      </c>
      <c r="B436" s="3" t="s">
        <v>262</v>
      </c>
      <c r="C436" s="3" t="s">
        <v>94</v>
      </c>
      <c r="D436" s="3" t="s">
        <v>95</v>
      </c>
      <c r="E436" s="3" t="s">
        <v>208</v>
      </c>
      <c r="F436" s="3" t="str">
        <f t="shared" si="1"/>
        <v>Addon15minReflexologíaPONIENTE</v>
      </c>
      <c r="G436" s="1">
        <v>10000</v>
      </c>
      <c r="H436" s="1">
        <v>5042.0168067226896</v>
      </c>
    </row>
    <row r="437" spans="1:8" ht="14.25" customHeight="1">
      <c r="A437" s="3" t="s">
        <v>93</v>
      </c>
      <c r="B437" s="3" t="s">
        <v>262</v>
      </c>
      <c r="C437" s="3" t="s">
        <v>126</v>
      </c>
      <c r="D437" s="3" t="s">
        <v>95</v>
      </c>
      <c r="E437" s="3" t="s">
        <v>208</v>
      </c>
      <c r="F437" s="3" t="str">
        <f t="shared" si="1"/>
        <v>Addon30minReflexologíaPONIENTE</v>
      </c>
      <c r="G437" s="1">
        <v>18000</v>
      </c>
      <c r="H437" s="1">
        <v>9075.6302521008402</v>
      </c>
    </row>
    <row r="438" spans="1:8" ht="14.25" customHeight="1">
      <c r="A438" s="3" t="s">
        <v>93</v>
      </c>
      <c r="B438" s="3" t="s">
        <v>262</v>
      </c>
      <c r="C438" s="3" t="s">
        <v>94</v>
      </c>
      <c r="D438" s="3" t="s">
        <v>96</v>
      </c>
      <c r="E438" s="3" t="s">
        <v>208</v>
      </c>
      <c r="F438" s="3" t="str">
        <f t="shared" si="1"/>
        <v>Addon15minCraneofacialPONIENTE</v>
      </c>
      <c r="G438" s="1">
        <v>10000</v>
      </c>
      <c r="H438" s="1">
        <v>5042.0168067226896</v>
      </c>
    </row>
    <row r="439" spans="1:8" ht="14.25" customHeight="1">
      <c r="A439" s="3" t="s">
        <v>93</v>
      </c>
      <c r="B439" s="3" t="s">
        <v>262</v>
      </c>
      <c r="C439" s="3" t="s">
        <v>126</v>
      </c>
      <c r="D439" s="3" t="s">
        <v>96</v>
      </c>
      <c r="E439" s="3" t="s">
        <v>208</v>
      </c>
      <c r="F439" s="3" t="str">
        <f t="shared" si="1"/>
        <v>Addon30minCraneofacialPONIENTE</v>
      </c>
      <c r="G439" s="1">
        <v>18000</v>
      </c>
      <c r="H439" s="1">
        <v>9075.6302521008402</v>
      </c>
    </row>
    <row r="440" spans="1:8" ht="14.25" customHeight="1">
      <c r="A440" s="3" t="s">
        <v>93</v>
      </c>
      <c r="B440" s="3" t="s">
        <v>262</v>
      </c>
      <c r="C440" s="3" t="s">
        <v>94</v>
      </c>
      <c r="D440" s="3" t="s">
        <v>127</v>
      </c>
      <c r="E440" s="3" t="s">
        <v>208</v>
      </c>
      <c r="F440" s="3" t="str">
        <f t="shared" si="1"/>
        <v>Addon15minMasaje Tiempo ExtraPONIENTE</v>
      </c>
      <c r="G440" s="1">
        <v>10000</v>
      </c>
      <c r="H440" s="1">
        <v>5042.0168067226896</v>
      </c>
    </row>
    <row r="441" spans="1:8" ht="14.25" customHeight="1">
      <c r="A441" s="3" t="s">
        <v>93</v>
      </c>
      <c r="B441" s="3" t="s">
        <v>262</v>
      </c>
      <c r="C441" s="3" t="s">
        <v>126</v>
      </c>
      <c r="D441" s="3" t="s">
        <v>127</v>
      </c>
      <c r="E441" s="3" t="s">
        <v>208</v>
      </c>
      <c r="F441" s="3" t="str">
        <f t="shared" si="1"/>
        <v>Addon30minMasaje Tiempo ExtraPONIENTE</v>
      </c>
      <c r="G441" s="1">
        <v>18000</v>
      </c>
      <c r="H441" s="1">
        <v>9075.6302521008402</v>
      </c>
    </row>
    <row r="442" spans="1:8" ht="14.25" customHeight="1">
      <c r="A442" s="3" t="s">
        <v>93</v>
      </c>
      <c r="B442" s="3" t="s">
        <v>262</v>
      </c>
      <c r="C442" s="3" t="s">
        <v>94</v>
      </c>
      <c r="D442" s="3" t="s">
        <v>95</v>
      </c>
      <c r="E442" s="3" t="s">
        <v>209</v>
      </c>
      <c r="F442" s="3" t="str">
        <f t="shared" si="1"/>
        <v>Addon15minReflexologíaNORTE</v>
      </c>
      <c r="G442" s="1">
        <v>10000</v>
      </c>
      <c r="H442" s="1">
        <v>5042.0168067226896</v>
      </c>
    </row>
    <row r="443" spans="1:8" ht="14.25" customHeight="1">
      <c r="A443" s="3" t="s">
        <v>93</v>
      </c>
      <c r="B443" s="3" t="s">
        <v>262</v>
      </c>
      <c r="C443" s="3" t="s">
        <v>126</v>
      </c>
      <c r="D443" s="3" t="s">
        <v>95</v>
      </c>
      <c r="E443" s="3" t="s">
        <v>209</v>
      </c>
      <c r="F443" s="3" t="str">
        <f t="shared" si="1"/>
        <v>Addon30minReflexologíaNORTE</v>
      </c>
      <c r="G443" s="1">
        <v>18000</v>
      </c>
      <c r="H443" s="1">
        <v>9075.6302521008402</v>
      </c>
    </row>
    <row r="444" spans="1:8" ht="14.25" customHeight="1">
      <c r="A444" s="3" t="s">
        <v>93</v>
      </c>
      <c r="B444" s="3" t="s">
        <v>262</v>
      </c>
      <c r="C444" s="3" t="s">
        <v>94</v>
      </c>
      <c r="D444" s="3" t="s">
        <v>96</v>
      </c>
      <c r="E444" s="3" t="s">
        <v>209</v>
      </c>
      <c r="F444" s="3" t="str">
        <f t="shared" si="1"/>
        <v>Addon15minCraneofacialNORTE</v>
      </c>
      <c r="G444" s="1">
        <v>10000</v>
      </c>
      <c r="H444" s="1">
        <v>5042.0168067226896</v>
      </c>
    </row>
    <row r="445" spans="1:8" ht="14.25" customHeight="1">
      <c r="A445" s="3" t="s">
        <v>93</v>
      </c>
      <c r="B445" s="3" t="s">
        <v>262</v>
      </c>
      <c r="C445" s="3" t="s">
        <v>126</v>
      </c>
      <c r="D445" s="3" t="s">
        <v>96</v>
      </c>
      <c r="E445" s="3" t="s">
        <v>209</v>
      </c>
      <c r="F445" s="3" t="str">
        <f t="shared" si="1"/>
        <v>Addon30minCraneofacialNORTE</v>
      </c>
      <c r="G445" s="1">
        <v>18000</v>
      </c>
      <c r="H445" s="1">
        <v>9075.6302521008402</v>
      </c>
    </row>
    <row r="446" spans="1:8" ht="14.25" customHeight="1">
      <c r="A446" s="3" t="s">
        <v>93</v>
      </c>
      <c r="B446" s="3" t="s">
        <v>262</v>
      </c>
      <c r="C446" s="3" t="s">
        <v>94</v>
      </c>
      <c r="D446" s="3" t="s">
        <v>127</v>
      </c>
      <c r="E446" s="3" t="s">
        <v>209</v>
      </c>
      <c r="F446" s="3" t="str">
        <f t="shared" si="1"/>
        <v>Addon15minMasaje Tiempo ExtraNORTE</v>
      </c>
      <c r="G446" s="1">
        <v>10000</v>
      </c>
      <c r="H446" s="1">
        <v>5042.0168067226896</v>
      </c>
    </row>
    <row r="447" spans="1:8" ht="14.25" customHeight="1">
      <c r="A447" s="3" t="s">
        <v>93</v>
      </c>
      <c r="B447" s="3" t="s">
        <v>262</v>
      </c>
      <c r="C447" s="3" t="s">
        <v>126</v>
      </c>
      <c r="D447" s="3" t="s">
        <v>127</v>
      </c>
      <c r="E447" s="3" t="s">
        <v>209</v>
      </c>
      <c r="F447" s="3" t="str">
        <f t="shared" si="1"/>
        <v>Addon30minMasaje Tiempo ExtraNORTE</v>
      </c>
      <c r="G447" s="1">
        <v>18000</v>
      </c>
      <c r="H447" s="1">
        <v>9075.6302521008402</v>
      </c>
    </row>
    <row r="448" spans="1:8" ht="14.25" customHeight="1">
      <c r="A448" s="3" t="s">
        <v>93</v>
      </c>
      <c r="B448" s="3" t="s">
        <v>262</v>
      </c>
      <c r="C448" s="3" t="s">
        <v>94</v>
      </c>
      <c r="D448" s="3" t="s">
        <v>95</v>
      </c>
      <c r="E448" s="3" t="s">
        <v>210</v>
      </c>
      <c r="F448" s="3" t="str">
        <f t="shared" si="1"/>
        <v>Addon15minReflexologíaSUR</v>
      </c>
      <c r="G448" s="1">
        <v>10000</v>
      </c>
      <c r="H448" s="1">
        <v>5042.0168067226896</v>
      </c>
    </row>
    <row r="449" spans="1:8" ht="14.25" customHeight="1">
      <c r="A449" s="3" t="s">
        <v>93</v>
      </c>
      <c r="B449" s="3" t="s">
        <v>262</v>
      </c>
      <c r="C449" s="3" t="s">
        <v>126</v>
      </c>
      <c r="D449" s="3" t="s">
        <v>95</v>
      </c>
      <c r="E449" s="3" t="s">
        <v>210</v>
      </c>
      <c r="F449" s="3" t="str">
        <f t="shared" si="1"/>
        <v>Addon30minReflexologíaSUR</v>
      </c>
      <c r="G449" s="1">
        <v>18000</v>
      </c>
      <c r="H449" s="1">
        <v>9075.6302521008402</v>
      </c>
    </row>
    <row r="450" spans="1:8" ht="14.25" customHeight="1">
      <c r="A450" s="3" t="s">
        <v>93</v>
      </c>
      <c r="B450" s="3" t="s">
        <v>262</v>
      </c>
      <c r="C450" s="3" t="s">
        <v>94</v>
      </c>
      <c r="D450" s="3" t="s">
        <v>96</v>
      </c>
      <c r="E450" s="3" t="s">
        <v>210</v>
      </c>
      <c r="F450" s="3" t="str">
        <f t="shared" si="1"/>
        <v>Addon15minCraneofacialSUR</v>
      </c>
      <c r="G450" s="1">
        <v>10000</v>
      </c>
      <c r="H450" s="1">
        <v>5042.0168067226896</v>
      </c>
    </row>
    <row r="451" spans="1:8" ht="14.25" customHeight="1">
      <c r="A451" s="3" t="s">
        <v>93</v>
      </c>
      <c r="B451" s="3" t="s">
        <v>262</v>
      </c>
      <c r="C451" s="3" t="s">
        <v>126</v>
      </c>
      <c r="D451" s="3" t="s">
        <v>96</v>
      </c>
      <c r="E451" s="3" t="s">
        <v>210</v>
      </c>
      <c r="F451" s="3" t="str">
        <f t="shared" si="1"/>
        <v>Addon30minCraneofacialSUR</v>
      </c>
      <c r="G451" s="1">
        <v>18000</v>
      </c>
      <c r="H451" s="1">
        <v>9075.6302521008402</v>
      </c>
    </row>
    <row r="452" spans="1:8" ht="14.25" customHeight="1">
      <c r="A452" s="3" t="s">
        <v>93</v>
      </c>
      <c r="B452" s="3" t="s">
        <v>262</v>
      </c>
      <c r="C452" s="3" t="s">
        <v>94</v>
      </c>
      <c r="D452" s="3" t="s">
        <v>127</v>
      </c>
      <c r="E452" s="3" t="s">
        <v>210</v>
      </c>
      <c r="F452" s="3" t="str">
        <f t="shared" si="1"/>
        <v>Addon15minMasaje Tiempo ExtraSUR</v>
      </c>
      <c r="G452" s="1">
        <v>10000</v>
      </c>
      <c r="H452" s="1">
        <v>5042.0168067226896</v>
      </c>
    </row>
    <row r="453" spans="1:8" ht="14.25" customHeight="1">
      <c r="A453" s="3" t="s">
        <v>93</v>
      </c>
      <c r="B453" s="3" t="s">
        <v>262</v>
      </c>
      <c r="C453" s="3" t="s">
        <v>126</v>
      </c>
      <c r="D453" s="3" t="s">
        <v>127</v>
      </c>
      <c r="E453" s="3" t="s">
        <v>210</v>
      </c>
      <c r="F453" s="3" t="str">
        <f t="shared" si="1"/>
        <v>Addon30minMasaje Tiempo ExtraSUR</v>
      </c>
      <c r="G453" s="1">
        <v>18000</v>
      </c>
      <c r="H453" s="1">
        <v>9075.6302521008402</v>
      </c>
    </row>
    <row r="454" spans="1:8" ht="14.25" customHeight="1">
      <c r="A454" s="3" t="s">
        <v>93</v>
      </c>
      <c r="B454" s="3" t="s">
        <v>262</v>
      </c>
      <c r="C454" s="3" t="s">
        <v>94</v>
      </c>
      <c r="D454" s="3" t="s">
        <v>95</v>
      </c>
      <c r="E454" s="3" t="s">
        <v>108</v>
      </c>
      <c r="F454" s="3" t="str">
        <f t="shared" si="1"/>
        <v>Addon15minReflexologíaLO BARNECHEA</v>
      </c>
      <c r="G454" s="1">
        <v>10000</v>
      </c>
      <c r="H454" s="1">
        <v>5042.0168067226896</v>
      </c>
    </row>
    <row r="455" spans="1:8" ht="14.25" customHeight="1">
      <c r="A455" s="3" t="s">
        <v>93</v>
      </c>
      <c r="B455" s="3" t="s">
        <v>262</v>
      </c>
      <c r="C455" s="3" t="s">
        <v>126</v>
      </c>
      <c r="D455" s="3" t="s">
        <v>95</v>
      </c>
      <c r="E455" s="3" t="s">
        <v>108</v>
      </c>
      <c r="F455" s="3" t="str">
        <f t="shared" si="1"/>
        <v>Addon30minReflexologíaLO BARNECHEA</v>
      </c>
      <c r="G455" s="1">
        <v>18000</v>
      </c>
      <c r="H455" s="1">
        <v>9075.6302521008402</v>
      </c>
    </row>
    <row r="456" spans="1:8" ht="14.25" customHeight="1">
      <c r="A456" s="3" t="s">
        <v>93</v>
      </c>
      <c r="B456" s="3" t="s">
        <v>262</v>
      </c>
      <c r="C456" s="3" t="s">
        <v>94</v>
      </c>
      <c r="D456" s="3" t="s">
        <v>96</v>
      </c>
      <c r="E456" s="3" t="s">
        <v>108</v>
      </c>
      <c r="F456" s="3" t="str">
        <f t="shared" si="1"/>
        <v>Addon15minCraneofacialLO BARNECHEA</v>
      </c>
      <c r="G456" s="1">
        <v>10000</v>
      </c>
      <c r="H456" s="1">
        <v>5042.0168067226896</v>
      </c>
    </row>
    <row r="457" spans="1:8" ht="14.25" customHeight="1">
      <c r="A457" s="3" t="s">
        <v>93</v>
      </c>
      <c r="B457" s="3" t="s">
        <v>262</v>
      </c>
      <c r="C457" s="3" t="s">
        <v>126</v>
      </c>
      <c r="D457" s="3" t="s">
        <v>96</v>
      </c>
      <c r="E457" s="3" t="s">
        <v>108</v>
      </c>
      <c r="F457" s="3" t="str">
        <f t="shared" si="1"/>
        <v>Addon30minCraneofacialLO BARNECHEA</v>
      </c>
      <c r="G457" s="1">
        <v>18000</v>
      </c>
      <c r="H457" s="1">
        <v>9075.6302521008402</v>
      </c>
    </row>
    <row r="458" spans="1:8" ht="14.25" customHeight="1">
      <c r="A458" s="3" t="s">
        <v>93</v>
      </c>
      <c r="B458" s="3" t="s">
        <v>262</v>
      </c>
      <c r="C458" s="3" t="s">
        <v>94</v>
      </c>
      <c r="D458" s="3" t="s">
        <v>127</v>
      </c>
      <c r="E458" s="3" t="s">
        <v>108</v>
      </c>
      <c r="F458" s="3" t="str">
        <f t="shared" si="1"/>
        <v>Addon15minMasaje Tiempo ExtraLO BARNECHEA</v>
      </c>
      <c r="G458" s="1">
        <v>10000</v>
      </c>
      <c r="H458" s="1">
        <v>5042.0168067226896</v>
      </c>
    </row>
    <row r="459" spans="1:8" ht="14.25" customHeight="1">
      <c r="A459" s="3" t="s">
        <v>93</v>
      </c>
      <c r="B459" s="3" t="s">
        <v>262</v>
      </c>
      <c r="C459" s="3" t="s">
        <v>126</v>
      </c>
      <c r="D459" s="3" t="s">
        <v>127</v>
      </c>
      <c r="E459" s="3" t="s">
        <v>108</v>
      </c>
      <c r="F459" s="3" t="str">
        <f t="shared" si="1"/>
        <v>Addon30minMasaje Tiempo ExtraLO BARNECHEA</v>
      </c>
      <c r="G459" s="1">
        <v>18000</v>
      </c>
      <c r="H459" s="1">
        <v>9075.6302521008402</v>
      </c>
    </row>
    <row r="460" spans="1:8" ht="14.25" customHeight="1">
      <c r="A460" s="3" t="s">
        <v>93</v>
      </c>
      <c r="B460" s="3" t="s">
        <v>262</v>
      </c>
      <c r="C460" s="3" t="s">
        <v>94</v>
      </c>
      <c r="D460" s="3" t="s">
        <v>95</v>
      </c>
      <c r="E460" s="3" t="s">
        <v>101</v>
      </c>
      <c r="F460" s="3" t="str">
        <f t="shared" si="1"/>
        <v>Addon15minReflexologíaCOLINA</v>
      </c>
      <c r="G460" s="1">
        <v>10000</v>
      </c>
      <c r="H460" s="1">
        <v>5042.0168067226896</v>
      </c>
    </row>
    <row r="461" spans="1:8" ht="14.25" customHeight="1">
      <c r="A461" s="3" t="s">
        <v>93</v>
      </c>
      <c r="B461" s="3" t="s">
        <v>262</v>
      </c>
      <c r="C461" s="3" t="s">
        <v>126</v>
      </c>
      <c r="D461" s="3" t="s">
        <v>95</v>
      </c>
      <c r="E461" s="3" t="s">
        <v>101</v>
      </c>
      <c r="F461" s="3" t="str">
        <f t="shared" si="1"/>
        <v>Addon30minReflexologíaCOLINA</v>
      </c>
      <c r="G461" s="1">
        <v>18000</v>
      </c>
      <c r="H461" s="1">
        <v>9075.6302521008402</v>
      </c>
    </row>
    <row r="462" spans="1:8" ht="14.25" customHeight="1">
      <c r="A462" s="3" t="s">
        <v>93</v>
      </c>
      <c r="B462" s="3" t="s">
        <v>262</v>
      </c>
      <c r="C462" s="3" t="s">
        <v>94</v>
      </c>
      <c r="D462" s="3" t="s">
        <v>96</v>
      </c>
      <c r="E462" s="3" t="s">
        <v>101</v>
      </c>
      <c r="F462" s="3" t="str">
        <f t="shared" si="1"/>
        <v>Addon15minCraneofacialCOLINA</v>
      </c>
      <c r="G462" s="1">
        <v>10000</v>
      </c>
      <c r="H462" s="1">
        <v>5042.0168067226896</v>
      </c>
    </row>
    <row r="463" spans="1:8" ht="14.25" customHeight="1">
      <c r="A463" s="3" t="s">
        <v>93</v>
      </c>
      <c r="B463" s="3" t="s">
        <v>262</v>
      </c>
      <c r="C463" s="3" t="s">
        <v>126</v>
      </c>
      <c r="D463" s="3" t="s">
        <v>96</v>
      </c>
      <c r="E463" s="3" t="s">
        <v>101</v>
      </c>
      <c r="F463" s="3" t="str">
        <f t="shared" si="1"/>
        <v>Addon30minCraneofacialCOLINA</v>
      </c>
      <c r="G463" s="1">
        <v>18000</v>
      </c>
      <c r="H463" s="1">
        <v>9075.6302521008402</v>
      </c>
    </row>
    <row r="464" spans="1:8" ht="14.25" customHeight="1">
      <c r="A464" s="3" t="s">
        <v>93</v>
      </c>
      <c r="B464" s="3" t="s">
        <v>262</v>
      </c>
      <c r="C464" s="3" t="s">
        <v>94</v>
      </c>
      <c r="D464" s="3" t="s">
        <v>127</v>
      </c>
      <c r="E464" s="3" t="s">
        <v>101</v>
      </c>
      <c r="F464" s="3" t="str">
        <f t="shared" si="1"/>
        <v>Addon15minMasaje Tiempo ExtraCOLINA</v>
      </c>
      <c r="G464" s="1">
        <v>10000</v>
      </c>
      <c r="H464" s="1">
        <v>5042.0168067226896</v>
      </c>
    </row>
    <row r="465" spans="1:8" ht="14.25" customHeight="1">
      <c r="A465" s="3" t="s">
        <v>93</v>
      </c>
      <c r="B465" s="3" t="s">
        <v>262</v>
      </c>
      <c r="C465" s="3" t="s">
        <v>126</v>
      </c>
      <c r="D465" s="3" t="s">
        <v>127</v>
      </c>
      <c r="E465" s="3" t="s">
        <v>101</v>
      </c>
      <c r="F465" s="3" t="str">
        <f t="shared" si="1"/>
        <v>Addon30minMasaje Tiempo ExtraCOLINA</v>
      </c>
      <c r="G465" s="1">
        <v>18000</v>
      </c>
      <c r="H465" s="1">
        <v>9075.6302521008402</v>
      </c>
    </row>
    <row r="466" spans="1:8" ht="14.25" customHeight="1">
      <c r="A466" s="3" t="s">
        <v>93</v>
      </c>
      <c r="B466" s="3" t="s">
        <v>262</v>
      </c>
      <c r="C466" s="3" t="s">
        <v>94</v>
      </c>
      <c r="D466" s="3" t="s">
        <v>95</v>
      </c>
      <c r="E466" s="3" t="s">
        <v>211</v>
      </c>
      <c r="F466" s="3" t="str">
        <f t="shared" si="1"/>
        <v>Addon15minReflexologíaZONA COSTA</v>
      </c>
      <c r="G466" s="1">
        <v>10000</v>
      </c>
      <c r="H466" s="1">
        <v>5042.0168067226896</v>
      </c>
    </row>
    <row r="467" spans="1:8" ht="14.25" customHeight="1">
      <c r="A467" s="3" t="s">
        <v>93</v>
      </c>
      <c r="B467" s="3" t="s">
        <v>262</v>
      </c>
      <c r="C467" s="3" t="s">
        <v>126</v>
      </c>
      <c r="D467" s="3" t="s">
        <v>95</v>
      </c>
      <c r="E467" s="3" t="s">
        <v>211</v>
      </c>
      <c r="F467" s="3" t="str">
        <f t="shared" si="1"/>
        <v>Addon30minReflexologíaZONA COSTA</v>
      </c>
      <c r="G467" s="1">
        <v>18000</v>
      </c>
      <c r="H467" s="1">
        <v>9075.6302521008402</v>
      </c>
    </row>
    <row r="468" spans="1:8" ht="14.25" customHeight="1">
      <c r="A468" s="3" t="s">
        <v>93</v>
      </c>
      <c r="B468" s="3" t="s">
        <v>262</v>
      </c>
      <c r="C468" s="3" t="s">
        <v>94</v>
      </c>
      <c r="D468" s="3" t="s">
        <v>96</v>
      </c>
      <c r="E468" s="3" t="s">
        <v>211</v>
      </c>
      <c r="F468" s="3" t="str">
        <f t="shared" si="1"/>
        <v>Addon15minCraneofacialZONA COSTA</v>
      </c>
      <c r="G468" s="1">
        <v>10000</v>
      </c>
      <c r="H468" s="1">
        <v>5042.0168067226896</v>
      </c>
    </row>
    <row r="469" spans="1:8" ht="14.25" customHeight="1">
      <c r="A469" s="3" t="s">
        <v>93</v>
      </c>
      <c r="B469" s="3" t="s">
        <v>262</v>
      </c>
      <c r="C469" s="3" t="s">
        <v>126</v>
      </c>
      <c r="D469" s="3" t="s">
        <v>96</v>
      </c>
      <c r="E469" s="3" t="s">
        <v>211</v>
      </c>
      <c r="F469" s="3" t="str">
        <f t="shared" si="1"/>
        <v>Addon30minCraneofacialZONA COSTA</v>
      </c>
      <c r="G469" s="1">
        <v>18000</v>
      </c>
      <c r="H469" s="1">
        <v>9075.6302521008402</v>
      </c>
    </row>
    <row r="470" spans="1:8" ht="14.25" customHeight="1">
      <c r="A470" s="3" t="s">
        <v>93</v>
      </c>
      <c r="B470" s="3" t="s">
        <v>262</v>
      </c>
      <c r="C470" s="3" t="s">
        <v>94</v>
      </c>
      <c r="D470" s="3" t="s">
        <v>127</v>
      </c>
      <c r="E470" s="3" t="s">
        <v>211</v>
      </c>
      <c r="F470" s="3" t="str">
        <f t="shared" si="1"/>
        <v>Addon15minMasaje Tiempo ExtraZONA COSTA</v>
      </c>
      <c r="G470" s="1">
        <v>10000</v>
      </c>
      <c r="H470" s="1">
        <v>5042.0168067226896</v>
      </c>
    </row>
    <row r="471" spans="1:8" ht="14.25" customHeight="1">
      <c r="A471" s="3" t="s">
        <v>93</v>
      </c>
      <c r="B471" s="3" t="s">
        <v>262</v>
      </c>
      <c r="C471" s="3" t="s">
        <v>126</v>
      </c>
      <c r="D471" s="3" t="s">
        <v>127</v>
      </c>
      <c r="E471" s="3" t="s">
        <v>211</v>
      </c>
      <c r="F471" s="3" t="str">
        <f t="shared" si="1"/>
        <v>Addon30minMasaje Tiempo ExtraZONA COSTA</v>
      </c>
      <c r="G471" s="1">
        <v>18000</v>
      </c>
      <c r="H471" s="1">
        <v>9075.6302521008402</v>
      </c>
    </row>
    <row r="472" spans="1:8" ht="14.25" customHeight="1">
      <c r="A472" s="3" t="s">
        <v>93</v>
      </c>
      <c r="B472" s="3" t="s">
        <v>262</v>
      </c>
      <c r="C472" s="3" t="s">
        <v>94</v>
      </c>
      <c r="D472" s="3" t="s">
        <v>113</v>
      </c>
      <c r="E472" s="3" t="s">
        <v>199</v>
      </c>
      <c r="F472" s="3" t="str">
        <f t="shared" si="1"/>
        <v>Addon15minYoga FacialORIENTE</v>
      </c>
      <c r="G472" s="1">
        <v>12000</v>
      </c>
      <c r="H472" s="1">
        <v>6050.4201680672277</v>
      </c>
    </row>
    <row r="473" spans="1:8" ht="14.25" customHeight="1">
      <c r="A473" s="3" t="s">
        <v>93</v>
      </c>
      <c r="B473" s="3" t="s">
        <v>262</v>
      </c>
      <c r="C473" s="3" t="s">
        <v>126</v>
      </c>
      <c r="D473" s="3" t="s">
        <v>113</v>
      </c>
      <c r="E473" s="3" t="s">
        <v>208</v>
      </c>
      <c r="F473" s="3" t="str">
        <f t="shared" si="1"/>
        <v>Addon30minYoga FacialPONIENTE</v>
      </c>
      <c r="G473" s="1">
        <v>20000</v>
      </c>
      <c r="H473" s="1">
        <v>10084.033613445379</v>
      </c>
    </row>
    <row r="474" spans="1:8" ht="14.25" customHeight="1">
      <c r="A474" s="3" t="s">
        <v>93</v>
      </c>
      <c r="B474" s="3" t="s">
        <v>262</v>
      </c>
      <c r="C474" s="3" t="s">
        <v>94</v>
      </c>
      <c r="D474" s="3" t="s">
        <v>113</v>
      </c>
      <c r="E474" s="3" t="s">
        <v>210</v>
      </c>
      <c r="F474" s="3" t="str">
        <f t="shared" si="1"/>
        <v>Addon15minYoga FacialSUR</v>
      </c>
      <c r="G474" s="1">
        <v>12000</v>
      </c>
      <c r="H474" s="1">
        <v>6050.4201680672277</v>
      </c>
    </row>
    <row r="475" spans="1:8" ht="14.25" customHeight="1">
      <c r="A475" s="3" t="s">
        <v>93</v>
      </c>
      <c r="B475" s="3" t="s">
        <v>262</v>
      </c>
      <c r="C475" s="3" t="s">
        <v>126</v>
      </c>
      <c r="D475" s="3" t="s">
        <v>113</v>
      </c>
      <c r="E475" s="3" t="s">
        <v>209</v>
      </c>
      <c r="F475" s="3" t="str">
        <f t="shared" si="1"/>
        <v>Addon30minYoga FacialNORTE</v>
      </c>
      <c r="G475" s="1">
        <v>20000</v>
      </c>
      <c r="H475" s="1">
        <v>10084.033613445379</v>
      </c>
    </row>
    <row r="476" spans="1:8" ht="14.25" customHeight="1">
      <c r="A476" s="3" t="s">
        <v>93</v>
      </c>
      <c r="B476" s="3" t="s">
        <v>262</v>
      </c>
      <c r="C476" s="3" t="s">
        <v>94</v>
      </c>
      <c r="D476" s="3" t="s">
        <v>113</v>
      </c>
      <c r="E476" s="3" t="s">
        <v>101</v>
      </c>
      <c r="F476" s="3" t="str">
        <f t="shared" si="1"/>
        <v>Addon15minYoga FacialCOLINA</v>
      </c>
      <c r="G476" s="1">
        <v>12000</v>
      </c>
      <c r="H476" s="1">
        <v>6050.4201680672277</v>
      </c>
    </row>
    <row r="477" spans="1:8" ht="14.25" customHeight="1">
      <c r="A477" s="3" t="s">
        <v>93</v>
      </c>
      <c r="B477" s="3" t="s">
        <v>262</v>
      </c>
      <c r="C477" s="3" t="s">
        <v>126</v>
      </c>
      <c r="D477" s="3" t="s">
        <v>113</v>
      </c>
      <c r="E477" s="3" t="s">
        <v>108</v>
      </c>
      <c r="F477" s="3" t="str">
        <f t="shared" si="1"/>
        <v>Addon30minYoga FacialLO BARNECHEA</v>
      </c>
      <c r="G477" s="1">
        <v>20000</v>
      </c>
      <c r="H477" s="1">
        <v>10084.033613445379</v>
      </c>
    </row>
    <row r="478" spans="1:8" ht="14.25" customHeight="1">
      <c r="A478" s="3" t="s">
        <v>82</v>
      </c>
      <c r="B478" s="3" t="s">
        <v>83</v>
      </c>
      <c r="C478" s="3" t="s">
        <v>84</v>
      </c>
      <c r="D478" s="3" t="s">
        <v>129</v>
      </c>
      <c r="E478" s="3" t="s">
        <v>199</v>
      </c>
      <c r="F478" s="3" t="str">
        <f t="shared" si="1"/>
        <v>Masaje60minDrenaje LinfáticoORIENTE</v>
      </c>
      <c r="G478" s="1">
        <v>45000</v>
      </c>
      <c r="H478" s="1">
        <v>22689</v>
      </c>
    </row>
    <row r="479" spans="1:8" ht="14.25" customHeight="1">
      <c r="A479" s="3" t="s">
        <v>82</v>
      </c>
      <c r="B479" s="3" t="s">
        <v>83</v>
      </c>
      <c r="C479" s="3" t="s">
        <v>84</v>
      </c>
      <c r="D479" s="3" t="s">
        <v>129</v>
      </c>
      <c r="E479" s="3" t="s">
        <v>209</v>
      </c>
      <c r="F479" s="3" t="str">
        <f t="shared" si="1"/>
        <v>Masaje60minDrenaje LinfáticoNORTE</v>
      </c>
      <c r="G479" s="1">
        <v>45000</v>
      </c>
      <c r="H479" s="1">
        <v>22689</v>
      </c>
    </row>
    <row r="480" spans="1:8" ht="14.25" customHeight="1">
      <c r="A480" s="3" t="s">
        <v>82</v>
      </c>
      <c r="B480" s="3" t="s">
        <v>83</v>
      </c>
      <c r="C480" s="3" t="s">
        <v>84</v>
      </c>
      <c r="D480" s="3" t="s">
        <v>129</v>
      </c>
      <c r="E480" s="3" t="s">
        <v>210</v>
      </c>
      <c r="F480" s="3" t="str">
        <f t="shared" si="1"/>
        <v>Masaje60minDrenaje LinfáticoSUR</v>
      </c>
      <c r="G480" s="1">
        <v>45000</v>
      </c>
      <c r="H480" s="1">
        <v>22689</v>
      </c>
    </row>
    <row r="481" spans="1:8" ht="14.25" customHeight="1">
      <c r="A481" s="3" t="s">
        <v>82</v>
      </c>
      <c r="B481" s="3" t="s">
        <v>83</v>
      </c>
      <c r="C481" s="3" t="s">
        <v>84</v>
      </c>
      <c r="D481" s="3" t="s">
        <v>129</v>
      </c>
      <c r="E481" s="3" t="s">
        <v>208</v>
      </c>
      <c r="F481" s="3" t="str">
        <f t="shared" si="1"/>
        <v>Masaje60minDrenaje LinfáticoPONIENTE</v>
      </c>
      <c r="G481" s="1">
        <v>45000</v>
      </c>
      <c r="H481" s="1">
        <v>22689</v>
      </c>
    </row>
    <row r="482" spans="1:8" ht="14.25" customHeight="1">
      <c r="A482" s="3" t="s">
        <v>82</v>
      </c>
      <c r="B482" s="3" t="s">
        <v>83</v>
      </c>
      <c r="C482" s="3" t="s">
        <v>84</v>
      </c>
      <c r="D482" s="3" t="s">
        <v>129</v>
      </c>
      <c r="E482" s="3" t="s">
        <v>108</v>
      </c>
      <c r="F482" s="3" t="str">
        <f t="shared" si="1"/>
        <v>Masaje60minDrenaje LinfáticoLO BARNECHEA</v>
      </c>
      <c r="G482" s="1">
        <v>45000</v>
      </c>
      <c r="H482" s="1">
        <v>22689</v>
      </c>
    </row>
    <row r="483" spans="1:8" ht="14.25" customHeight="1">
      <c r="A483" s="3" t="s">
        <v>82</v>
      </c>
      <c r="B483" s="3" t="s">
        <v>83</v>
      </c>
      <c r="C483" s="3" t="s">
        <v>84</v>
      </c>
      <c r="D483" s="3" t="s">
        <v>129</v>
      </c>
      <c r="E483" s="3" t="s">
        <v>101</v>
      </c>
      <c r="F483" s="3" t="str">
        <f t="shared" si="1"/>
        <v>Masaje60minDrenaje LinfáticoCOLINA</v>
      </c>
      <c r="G483" s="1">
        <v>45000</v>
      </c>
      <c r="H483" s="1">
        <v>22689</v>
      </c>
    </row>
    <row r="484" spans="1:8" ht="14.25" customHeight="1">
      <c r="A484" s="3" t="s">
        <v>82</v>
      </c>
      <c r="B484" s="3" t="s">
        <v>119</v>
      </c>
      <c r="C484" s="3" t="s">
        <v>146</v>
      </c>
      <c r="D484" s="3" t="s">
        <v>129</v>
      </c>
      <c r="E484" s="3" t="s">
        <v>199</v>
      </c>
      <c r="F484" s="3" t="str">
        <f t="shared" si="1"/>
        <v>Masaje90minDrenaje LinfáticoORIENTE</v>
      </c>
      <c r="G484" s="1">
        <v>63000</v>
      </c>
      <c r="H484" s="1">
        <v>31765</v>
      </c>
    </row>
    <row r="485" spans="1:8" ht="14.25" customHeight="1">
      <c r="A485" s="3" t="s">
        <v>93</v>
      </c>
      <c r="B485" s="3" t="s">
        <v>262</v>
      </c>
      <c r="C485" s="3" t="s">
        <v>94</v>
      </c>
      <c r="D485" s="3" t="s">
        <v>113</v>
      </c>
      <c r="E485" s="3" t="s">
        <v>108</v>
      </c>
      <c r="F485" s="3" t="str">
        <f t="shared" si="1"/>
        <v>Addon15minYoga FacialLO BARNECHEA</v>
      </c>
      <c r="G485" s="1">
        <v>12000</v>
      </c>
      <c r="H485" s="1">
        <v>6050.4201680672277</v>
      </c>
    </row>
    <row r="486" spans="1:8" ht="14.25" customHeight="1">
      <c r="A486" s="3" t="s">
        <v>163</v>
      </c>
      <c r="B486" s="3" t="s">
        <v>83</v>
      </c>
      <c r="C486" s="3" t="s">
        <v>84</v>
      </c>
      <c r="D486" s="3" t="s">
        <v>263</v>
      </c>
      <c r="E486" s="3" t="s">
        <v>199</v>
      </c>
      <c r="F486" s="3" t="str">
        <f t="shared" si="1"/>
        <v>Facial + Masaje60minHidratación Profunda + Drenaje LinfáticoORIENTE</v>
      </c>
      <c r="G486" s="1">
        <v>95000</v>
      </c>
      <c r="H486" s="1">
        <v>47889</v>
      </c>
    </row>
    <row r="487" spans="1:8" ht="14.25" customHeight="1">
      <c r="A487" s="3" t="s">
        <v>163</v>
      </c>
      <c r="B487" s="3" t="s">
        <v>83</v>
      </c>
      <c r="C487" s="3" t="s">
        <v>84</v>
      </c>
      <c r="D487" s="3" t="s">
        <v>263</v>
      </c>
      <c r="E487" s="3" t="s">
        <v>208</v>
      </c>
      <c r="F487" s="3" t="str">
        <f t="shared" si="1"/>
        <v>Facial + Masaje60minHidratación Profunda + Drenaje LinfáticoPONIENTE</v>
      </c>
      <c r="G487" s="1">
        <v>95000</v>
      </c>
      <c r="H487" s="1">
        <v>47889</v>
      </c>
    </row>
    <row r="488" spans="1:8" ht="14.25" customHeight="1">
      <c r="A488" s="3" t="s">
        <v>163</v>
      </c>
      <c r="B488" s="3" t="s">
        <v>83</v>
      </c>
      <c r="C488" s="3" t="s">
        <v>84</v>
      </c>
      <c r="D488" s="3" t="s">
        <v>263</v>
      </c>
      <c r="E488" s="3" t="s">
        <v>209</v>
      </c>
      <c r="F488" s="3" t="str">
        <f t="shared" si="1"/>
        <v>Facial + Masaje60minHidratación Profunda + Drenaje LinfáticoNORTE</v>
      </c>
      <c r="G488" s="1">
        <v>95000</v>
      </c>
      <c r="H488" s="1">
        <v>47889</v>
      </c>
    </row>
    <row r="489" spans="1:8" ht="14.25" customHeight="1">
      <c r="A489" s="3" t="s">
        <v>163</v>
      </c>
      <c r="B489" s="3" t="s">
        <v>83</v>
      </c>
      <c r="C489" s="3" t="s">
        <v>84</v>
      </c>
      <c r="D489" s="3" t="s">
        <v>263</v>
      </c>
      <c r="E489" s="3" t="s">
        <v>210</v>
      </c>
      <c r="F489" s="3" t="str">
        <f t="shared" si="1"/>
        <v>Facial + Masaje60minHidratación Profunda + Drenaje LinfáticoSUR</v>
      </c>
      <c r="G489" s="1">
        <v>95000</v>
      </c>
      <c r="H489" s="1">
        <v>47889</v>
      </c>
    </row>
    <row r="490" spans="1:8" ht="14.25" customHeight="1">
      <c r="A490" s="3" t="s">
        <v>163</v>
      </c>
      <c r="B490" s="3" t="s">
        <v>83</v>
      </c>
      <c r="C490" s="3" t="s">
        <v>84</v>
      </c>
      <c r="D490" s="3" t="s">
        <v>263</v>
      </c>
      <c r="E490" s="3" t="s">
        <v>211</v>
      </c>
      <c r="F490" s="3" t="str">
        <f t="shared" si="1"/>
        <v>Facial + Masaje60minHidratación Profunda + Drenaje LinfáticoZONA COSTA</v>
      </c>
      <c r="G490" s="1">
        <v>95000</v>
      </c>
      <c r="H490" s="1">
        <v>47889</v>
      </c>
    </row>
    <row r="491" spans="1:8" ht="14.25" customHeight="1">
      <c r="A491" s="3" t="s">
        <v>163</v>
      </c>
      <c r="B491" s="3" t="s">
        <v>83</v>
      </c>
      <c r="C491" s="3" t="s">
        <v>84</v>
      </c>
      <c r="D491" s="3" t="s">
        <v>263</v>
      </c>
      <c r="E491" s="3" t="s">
        <v>108</v>
      </c>
      <c r="F491" s="3" t="str">
        <f t="shared" si="1"/>
        <v>Facial + Masaje60minHidratación Profunda + Drenaje LinfáticoLO BARNECHEA</v>
      </c>
      <c r="G491" s="1">
        <v>95000</v>
      </c>
      <c r="H491" s="1">
        <v>47889</v>
      </c>
    </row>
    <row r="492" spans="1:8" ht="14.25" customHeight="1">
      <c r="A492" s="3" t="s">
        <v>163</v>
      </c>
      <c r="B492" s="3" t="s">
        <v>83</v>
      </c>
      <c r="C492" s="3" t="s">
        <v>84</v>
      </c>
      <c r="D492" s="3" t="s">
        <v>263</v>
      </c>
      <c r="E492" s="3" t="s">
        <v>101</v>
      </c>
      <c r="F492" s="3" t="str">
        <f t="shared" si="1"/>
        <v>Facial + Masaje60minHidratación Profunda + Drenaje LinfáticoCOLINA</v>
      </c>
      <c r="G492" s="1">
        <v>95000</v>
      </c>
      <c r="H492" s="1">
        <v>47889</v>
      </c>
    </row>
    <row r="493" spans="1:8" ht="14.25" customHeight="1">
      <c r="A493" s="3" t="s">
        <v>163</v>
      </c>
      <c r="B493" s="3" t="s">
        <v>83</v>
      </c>
      <c r="C493" s="3" t="s">
        <v>146</v>
      </c>
      <c r="D493" s="3" t="s">
        <v>251</v>
      </c>
      <c r="E493" s="3" t="s">
        <v>199</v>
      </c>
      <c r="F493" s="3" t="str">
        <f t="shared" si="1"/>
        <v>Facial + Masaje90minLimpieza Profunda + Tejido profundoORIENTE</v>
      </c>
      <c r="G493" s="1">
        <v>115000</v>
      </c>
      <c r="H493" s="1">
        <v>57983</v>
      </c>
    </row>
    <row r="494" spans="1:8" ht="14.25" customHeight="1">
      <c r="A494" s="3" t="s">
        <v>163</v>
      </c>
      <c r="B494" s="3" t="s">
        <v>83</v>
      </c>
      <c r="C494" s="3" t="s">
        <v>146</v>
      </c>
      <c r="D494" s="3" t="s">
        <v>264</v>
      </c>
      <c r="E494" s="3" t="s">
        <v>208</v>
      </c>
      <c r="F494" s="3" t="str">
        <f t="shared" si="1"/>
        <v>Facial + Masaje90minLimpieza Profunda + Tejido profundo 90 MINPONIENTE</v>
      </c>
      <c r="G494" s="1">
        <v>115000</v>
      </c>
      <c r="H494" s="1">
        <v>57983</v>
      </c>
    </row>
    <row r="495" spans="1:8" ht="14.25" customHeight="1">
      <c r="A495" s="3" t="s">
        <v>163</v>
      </c>
      <c r="B495" s="3" t="s">
        <v>83</v>
      </c>
      <c r="C495" s="3" t="s">
        <v>146</v>
      </c>
      <c r="D495" s="3" t="s">
        <v>264</v>
      </c>
      <c r="E495" s="3" t="s">
        <v>209</v>
      </c>
      <c r="F495" s="3" t="str">
        <f t="shared" si="1"/>
        <v>Facial + Masaje90minLimpieza Profunda + Tejido profundo 90 MINNORTE</v>
      </c>
      <c r="G495" s="1">
        <v>115000</v>
      </c>
      <c r="H495" s="1">
        <v>57983</v>
      </c>
    </row>
    <row r="496" spans="1:8" ht="14.25" customHeight="1">
      <c r="A496" s="3" t="s">
        <v>163</v>
      </c>
      <c r="B496" s="3" t="s">
        <v>83</v>
      </c>
      <c r="C496" s="3" t="s">
        <v>146</v>
      </c>
      <c r="D496" s="3" t="s">
        <v>264</v>
      </c>
      <c r="E496" s="3" t="s">
        <v>210</v>
      </c>
      <c r="F496" s="3" t="str">
        <f t="shared" si="1"/>
        <v>Facial + Masaje90minLimpieza Profunda + Tejido profundo 90 MINSUR</v>
      </c>
      <c r="G496" s="1">
        <v>115000</v>
      </c>
      <c r="H496" s="1">
        <v>57983</v>
      </c>
    </row>
    <row r="497" spans="1:8" ht="14.25" customHeight="1">
      <c r="A497" s="3" t="s">
        <v>163</v>
      </c>
      <c r="B497" s="3" t="s">
        <v>83</v>
      </c>
      <c r="C497" s="3" t="s">
        <v>146</v>
      </c>
      <c r="D497" s="3" t="s">
        <v>264</v>
      </c>
      <c r="E497" s="3" t="s">
        <v>211</v>
      </c>
      <c r="F497" s="3" t="str">
        <f t="shared" si="1"/>
        <v>Facial + Masaje90minLimpieza Profunda + Tejido profundo 90 MINZONA COSTA</v>
      </c>
      <c r="G497" s="1">
        <v>115000</v>
      </c>
      <c r="H497" s="1">
        <v>57983</v>
      </c>
    </row>
    <row r="498" spans="1:8" ht="14.25" customHeight="1">
      <c r="A498" s="3" t="s">
        <v>163</v>
      </c>
      <c r="B498" s="3" t="s">
        <v>83</v>
      </c>
      <c r="C498" s="3" t="s">
        <v>146</v>
      </c>
      <c r="D498" s="3" t="s">
        <v>264</v>
      </c>
      <c r="E498" s="3" t="s">
        <v>108</v>
      </c>
      <c r="F498" s="3" t="str">
        <f t="shared" si="1"/>
        <v>Facial + Masaje90minLimpieza Profunda + Tejido profundo 90 MINLO BARNECHEA</v>
      </c>
      <c r="G498" s="1">
        <v>115000</v>
      </c>
      <c r="H498" s="1">
        <v>57983</v>
      </c>
    </row>
    <row r="499" spans="1:8" ht="14.25" customHeight="1">
      <c r="A499" s="3" t="s">
        <v>163</v>
      </c>
      <c r="B499" s="3" t="s">
        <v>83</v>
      </c>
      <c r="C499" s="3" t="s">
        <v>146</v>
      </c>
      <c r="D499" s="3" t="s">
        <v>265</v>
      </c>
      <c r="E499" s="3" t="s">
        <v>101</v>
      </c>
      <c r="F499" s="3" t="str">
        <f t="shared" si="1"/>
        <v>Facial + Masaje90minLimpieza Profunda + Tejido profundo COLINA</v>
      </c>
      <c r="G499" s="1">
        <v>115000</v>
      </c>
      <c r="H499" s="1">
        <v>57983</v>
      </c>
    </row>
    <row r="500" spans="1:8" ht="14.25" customHeight="1">
      <c r="A500" s="3" t="s">
        <v>163</v>
      </c>
      <c r="B500" s="3" t="s">
        <v>83</v>
      </c>
      <c r="C500" s="3" t="s">
        <v>84</v>
      </c>
      <c r="D500" s="3" t="s">
        <v>266</v>
      </c>
      <c r="E500" s="3" t="s">
        <v>199</v>
      </c>
      <c r="F500" s="3" t="str">
        <f t="shared" si="1"/>
        <v>Facial + Masaje60minFacial ISDIN by Scape + RelajanteORIENTE</v>
      </c>
      <c r="G500" s="1">
        <v>95000</v>
      </c>
      <c r="H500" s="1">
        <v>47889</v>
      </c>
    </row>
    <row r="501" spans="1:8" ht="14.25" customHeight="1">
      <c r="A501" s="3" t="s">
        <v>163</v>
      </c>
      <c r="B501" s="3" t="s">
        <v>83</v>
      </c>
      <c r="C501" s="3" t="s">
        <v>84</v>
      </c>
      <c r="D501" s="3" t="s">
        <v>266</v>
      </c>
      <c r="E501" s="3" t="s">
        <v>208</v>
      </c>
      <c r="F501" s="3" t="str">
        <f t="shared" si="1"/>
        <v>Facial + Masaje60minFacial ISDIN by Scape + RelajantePONIENTE</v>
      </c>
      <c r="G501" s="1">
        <v>95000</v>
      </c>
      <c r="H501" s="1">
        <v>47889</v>
      </c>
    </row>
    <row r="502" spans="1:8" ht="14.25" customHeight="1">
      <c r="A502" s="3" t="s">
        <v>163</v>
      </c>
      <c r="B502" s="3" t="s">
        <v>83</v>
      </c>
      <c r="C502" s="3" t="s">
        <v>84</v>
      </c>
      <c r="D502" s="3" t="s">
        <v>266</v>
      </c>
      <c r="E502" s="3" t="s">
        <v>209</v>
      </c>
      <c r="F502" s="3" t="str">
        <f t="shared" si="1"/>
        <v>Facial + Masaje60minFacial ISDIN by Scape + RelajanteNORTE</v>
      </c>
      <c r="G502" s="1">
        <v>95000</v>
      </c>
      <c r="H502" s="1">
        <v>47889</v>
      </c>
    </row>
    <row r="503" spans="1:8" ht="14.25" customHeight="1">
      <c r="A503" s="3" t="s">
        <v>163</v>
      </c>
      <c r="B503" s="3" t="s">
        <v>83</v>
      </c>
      <c r="C503" s="3" t="s">
        <v>84</v>
      </c>
      <c r="D503" s="3" t="s">
        <v>266</v>
      </c>
      <c r="E503" s="3" t="s">
        <v>210</v>
      </c>
      <c r="F503" s="3" t="str">
        <f t="shared" si="1"/>
        <v>Facial + Masaje60minFacial ISDIN by Scape + RelajanteSUR</v>
      </c>
      <c r="G503" s="1">
        <v>95000</v>
      </c>
      <c r="H503" s="1">
        <v>47889</v>
      </c>
    </row>
    <row r="504" spans="1:8" ht="14.25" customHeight="1">
      <c r="A504" s="3" t="s">
        <v>163</v>
      </c>
      <c r="B504" s="3" t="s">
        <v>83</v>
      </c>
      <c r="C504" s="3" t="s">
        <v>84</v>
      </c>
      <c r="D504" s="3" t="s">
        <v>266</v>
      </c>
      <c r="E504" s="3" t="s">
        <v>211</v>
      </c>
      <c r="F504" s="3" t="str">
        <f t="shared" si="1"/>
        <v>Facial + Masaje60minFacial ISDIN by Scape + RelajanteZONA COSTA</v>
      </c>
      <c r="G504" s="1">
        <v>95000</v>
      </c>
      <c r="H504" s="1">
        <v>47889</v>
      </c>
    </row>
    <row r="505" spans="1:8" ht="14.25" customHeight="1">
      <c r="A505" s="3" t="s">
        <v>163</v>
      </c>
      <c r="B505" s="3" t="s">
        <v>83</v>
      </c>
      <c r="C505" s="3" t="s">
        <v>84</v>
      </c>
      <c r="D505" s="3" t="s">
        <v>266</v>
      </c>
      <c r="E505" s="3" t="s">
        <v>108</v>
      </c>
      <c r="F505" s="3" t="str">
        <f t="shared" si="1"/>
        <v>Facial + Masaje60minFacial ISDIN by Scape + RelajanteLO BARNECHEA</v>
      </c>
      <c r="G505" s="1">
        <v>95000</v>
      </c>
      <c r="H505" s="1">
        <v>47889</v>
      </c>
    </row>
    <row r="506" spans="1:8" ht="14.25" customHeight="1">
      <c r="A506" s="3" t="s">
        <v>163</v>
      </c>
      <c r="B506" s="3" t="s">
        <v>83</v>
      </c>
      <c r="C506" s="3" t="s">
        <v>84</v>
      </c>
      <c r="D506" s="3" t="s">
        <v>266</v>
      </c>
      <c r="E506" s="3" t="s">
        <v>101</v>
      </c>
      <c r="F506" s="3" t="str">
        <f t="shared" si="1"/>
        <v>Facial + Masaje60minFacial ISDIN by Scape + RelajanteCOLINA</v>
      </c>
      <c r="G506" s="1">
        <v>95000</v>
      </c>
      <c r="H506" s="1">
        <v>47889</v>
      </c>
    </row>
    <row r="507" spans="1:8" ht="14.25" customHeight="1">
      <c r="A507" s="3" t="s">
        <v>82</v>
      </c>
      <c r="B507" s="3" t="s">
        <v>83</v>
      </c>
      <c r="C507" s="3" t="s">
        <v>146</v>
      </c>
      <c r="D507" s="3" t="s">
        <v>85</v>
      </c>
      <c r="E507" s="3" t="s">
        <v>267</v>
      </c>
      <c r="F507" s="3" t="str">
        <f t="shared" si="1"/>
        <v>Masaje90minRelajanteZONA IQUIQUE</v>
      </c>
      <c r="G507" s="1">
        <v>63000</v>
      </c>
      <c r="H507" s="1">
        <v>31765</v>
      </c>
    </row>
    <row r="508" spans="1:8" ht="14.25" customHeight="1">
      <c r="A508" s="3" t="s">
        <v>93</v>
      </c>
      <c r="B508" s="3" t="s">
        <v>262</v>
      </c>
      <c r="C508" s="3" t="s">
        <v>126</v>
      </c>
      <c r="D508" s="3" t="s">
        <v>113</v>
      </c>
      <c r="E508" s="3" t="s">
        <v>199</v>
      </c>
      <c r="F508" s="3" t="str">
        <f t="shared" si="1"/>
        <v>Addon30minYoga FacialORIENTE</v>
      </c>
      <c r="G508" s="1">
        <v>20000</v>
      </c>
      <c r="H508" s="1">
        <v>10084.033613445379</v>
      </c>
    </row>
    <row r="509" spans="1:8" ht="14.25" customHeight="1">
      <c r="A509" s="3" t="s">
        <v>268</v>
      </c>
      <c r="B509" s="3" t="s">
        <v>269</v>
      </c>
      <c r="C509" s="3" t="s">
        <v>105</v>
      </c>
      <c r="D509" s="3" t="s">
        <v>106</v>
      </c>
      <c r="E509" s="3" t="s">
        <v>101</v>
      </c>
      <c r="F509" s="3" t="str">
        <f t="shared" si="1"/>
        <v>Costo Extra-Extra de transporteCOLINA</v>
      </c>
      <c r="G509" s="1">
        <v>5990</v>
      </c>
      <c r="H509" s="24">
        <v>4782</v>
      </c>
    </row>
    <row r="510" spans="1:8" ht="14.25" customHeight="1">
      <c r="A510" s="3" t="s">
        <v>268</v>
      </c>
      <c r="B510" s="3" t="s">
        <v>269</v>
      </c>
      <c r="C510" s="3" t="s">
        <v>105</v>
      </c>
      <c r="D510" s="3" t="s">
        <v>106</v>
      </c>
      <c r="E510" s="3" t="s">
        <v>108</v>
      </c>
      <c r="F510" s="3" t="str">
        <f t="shared" si="1"/>
        <v>Costo Extra-Extra de transporteLO BARNECHEA</v>
      </c>
      <c r="G510" s="3">
        <v>3990</v>
      </c>
      <c r="H510" s="1">
        <v>3185</v>
      </c>
    </row>
    <row r="511" spans="1:8" ht="14.25" customHeight="1">
      <c r="A511" s="3" t="s">
        <v>163</v>
      </c>
      <c r="B511" s="3" t="s">
        <v>83</v>
      </c>
      <c r="C511" s="3" t="s">
        <v>84</v>
      </c>
      <c r="D511" s="3" t="s">
        <v>270</v>
      </c>
      <c r="E511" s="3" t="s">
        <v>199</v>
      </c>
      <c r="F511" s="3" t="str">
        <f t="shared" si="1"/>
        <v>Facial + Masaje60minTeen Germaine + Drenaje LinfáticoORIENTE</v>
      </c>
      <c r="G511" s="1">
        <v>95000</v>
      </c>
      <c r="H511" s="1">
        <v>47889</v>
      </c>
    </row>
    <row r="512" spans="1:8" ht="14.25" customHeight="1">
      <c r="A512" s="3" t="s">
        <v>163</v>
      </c>
      <c r="B512" s="3" t="s">
        <v>83</v>
      </c>
      <c r="C512" s="3" t="s">
        <v>84</v>
      </c>
      <c r="D512" s="3" t="s">
        <v>271</v>
      </c>
      <c r="E512" s="3" t="s">
        <v>208</v>
      </c>
      <c r="F512" s="3" t="str">
        <f t="shared" si="1"/>
        <v>Facial + Masaje60minTeen Germaine + Drenaje Linfático 60 minPONIENTE</v>
      </c>
      <c r="G512" s="1">
        <v>95000</v>
      </c>
      <c r="H512" s="1">
        <v>47889</v>
      </c>
    </row>
    <row r="513" spans="1:8" ht="14.25" customHeight="1">
      <c r="A513" s="3" t="s">
        <v>163</v>
      </c>
      <c r="B513" s="3" t="s">
        <v>83</v>
      </c>
      <c r="C513" s="3" t="s">
        <v>84</v>
      </c>
      <c r="D513" s="3" t="s">
        <v>271</v>
      </c>
      <c r="E513" s="3" t="s">
        <v>209</v>
      </c>
      <c r="F513" s="3" t="str">
        <f t="shared" ref="F513:F602" si="2">+A513&amp;C513&amp;D513&amp;E513</f>
        <v>Facial + Masaje60minTeen Germaine + Drenaje Linfático 60 minNORTE</v>
      </c>
      <c r="G513" s="1">
        <v>95000</v>
      </c>
      <c r="H513" s="1">
        <v>47889</v>
      </c>
    </row>
    <row r="514" spans="1:8" ht="14.25" customHeight="1">
      <c r="A514" s="3" t="s">
        <v>163</v>
      </c>
      <c r="B514" s="3" t="s">
        <v>83</v>
      </c>
      <c r="C514" s="3" t="s">
        <v>84</v>
      </c>
      <c r="D514" s="3" t="s">
        <v>271</v>
      </c>
      <c r="E514" s="3" t="s">
        <v>210</v>
      </c>
      <c r="F514" s="3" t="str">
        <f t="shared" si="2"/>
        <v>Facial + Masaje60minTeen Germaine + Drenaje Linfático 60 minSUR</v>
      </c>
      <c r="G514" s="1">
        <v>95000</v>
      </c>
      <c r="H514" s="1">
        <v>47889</v>
      </c>
    </row>
    <row r="515" spans="1:8" ht="14.25" customHeight="1">
      <c r="A515" s="3" t="s">
        <v>163</v>
      </c>
      <c r="B515" s="3" t="s">
        <v>83</v>
      </c>
      <c r="C515" s="3" t="s">
        <v>84</v>
      </c>
      <c r="D515" s="3" t="s">
        <v>271</v>
      </c>
      <c r="E515" s="3" t="s">
        <v>211</v>
      </c>
      <c r="F515" s="3" t="str">
        <f t="shared" si="2"/>
        <v>Facial + Masaje60minTeen Germaine + Drenaje Linfático 60 minZONA COSTA</v>
      </c>
      <c r="G515" s="1">
        <v>95000</v>
      </c>
      <c r="H515" s="1">
        <v>47889</v>
      </c>
    </row>
    <row r="516" spans="1:8" ht="14.25" customHeight="1">
      <c r="A516" s="3" t="s">
        <v>163</v>
      </c>
      <c r="B516" s="3" t="s">
        <v>83</v>
      </c>
      <c r="C516" s="3" t="s">
        <v>84</v>
      </c>
      <c r="D516" s="3" t="s">
        <v>271</v>
      </c>
      <c r="E516" s="3" t="s">
        <v>108</v>
      </c>
      <c r="F516" s="3" t="str">
        <f t="shared" si="2"/>
        <v>Facial + Masaje60minTeen Germaine + Drenaje Linfático 60 minLO BARNECHEA</v>
      </c>
      <c r="G516" s="1">
        <v>95000</v>
      </c>
      <c r="H516" s="1">
        <v>47889</v>
      </c>
    </row>
    <row r="517" spans="1:8" ht="14.25" customHeight="1">
      <c r="A517" s="3" t="s">
        <v>163</v>
      </c>
      <c r="B517" s="3" t="s">
        <v>83</v>
      </c>
      <c r="C517" s="3" t="s">
        <v>84</v>
      </c>
      <c r="D517" s="3" t="s">
        <v>272</v>
      </c>
      <c r="E517" s="3" t="s">
        <v>101</v>
      </c>
      <c r="F517" s="3" t="str">
        <f t="shared" si="2"/>
        <v>Facial + Masaje60minTeen Germaine + Drenaje Linfático COLINA</v>
      </c>
      <c r="G517" s="1">
        <v>95000</v>
      </c>
      <c r="H517" s="1">
        <v>47889</v>
      </c>
    </row>
    <row r="518" spans="1:8" ht="14.25" customHeight="1">
      <c r="A518" s="3" t="s">
        <v>273</v>
      </c>
      <c r="B518" s="3" t="s">
        <v>274</v>
      </c>
      <c r="C518" s="3" t="s">
        <v>94</v>
      </c>
      <c r="D518" s="3" t="s">
        <v>95</v>
      </c>
      <c r="E518" s="3" t="s">
        <v>199</v>
      </c>
      <c r="F518" s="3" t="str">
        <f t="shared" si="2"/>
        <v>Cortesía15minReflexologíaORIENTE</v>
      </c>
      <c r="G518" s="1">
        <v>10000</v>
      </c>
      <c r="H518" s="1">
        <v>5042.0168067226896</v>
      </c>
    </row>
    <row r="519" spans="1:8" ht="14.25" customHeight="1">
      <c r="A519" s="3" t="s">
        <v>273</v>
      </c>
      <c r="B519" s="3" t="s">
        <v>274</v>
      </c>
      <c r="C519" s="3" t="s">
        <v>126</v>
      </c>
      <c r="D519" s="3" t="s">
        <v>95</v>
      </c>
      <c r="E519" s="3" t="s">
        <v>199</v>
      </c>
      <c r="F519" s="3" t="str">
        <f t="shared" si="2"/>
        <v>Cortesía30minReflexologíaORIENTE</v>
      </c>
      <c r="G519" s="1">
        <v>18000</v>
      </c>
      <c r="H519" s="1">
        <v>9075.6302521008402</v>
      </c>
    </row>
    <row r="520" spans="1:8" ht="14.25" customHeight="1">
      <c r="A520" s="3" t="s">
        <v>273</v>
      </c>
      <c r="B520" s="3" t="s">
        <v>274</v>
      </c>
      <c r="C520" s="3" t="s">
        <v>94</v>
      </c>
      <c r="D520" s="3" t="s">
        <v>96</v>
      </c>
      <c r="E520" s="3" t="s">
        <v>199</v>
      </c>
      <c r="F520" s="3" t="str">
        <f t="shared" si="2"/>
        <v>Cortesía15minCraneofacialORIENTE</v>
      </c>
      <c r="G520" s="1">
        <v>10000</v>
      </c>
      <c r="H520" s="1">
        <v>5042.0168067226896</v>
      </c>
    </row>
    <row r="521" spans="1:8" ht="14.25" customHeight="1">
      <c r="A521" s="3" t="s">
        <v>273</v>
      </c>
      <c r="B521" s="3" t="s">
        <v>274</v>
      </c>
      <c r="C521" s="3" t="s">
        <v>126</v>
      </c>
      <c r="D521" s="3" t="s">
        <v>96</v>
      </c>
      <c r="E521" s="3" t="s">
        <v>199</v>
      </c>
      <c r="F521" s="3" t="str">
        <f t="shared" si="2"/>
        <v>Cortesía30minCraneofacialORIENTE</v>
      </c>
      <c r="G521" s="1">
        <v>18000</v>
      </c>
      <c r="H521" s="1">
        <v>9075.6302521008402</v>
      </c>
    </row>
    <row r="522" spans="1:8" ht="14.25" customHeight="1">
      <c r="A522" s="3" t="s">
        <v>273</v>
      </c>
      <c r="B522" s="3" t="s">
        <v>274</v>
      </c>
      <c r="C522" s="3" t="s">
        <v>94</v>
      </c>
      <c r="D522" s="3" t="s">
        <v>127</v>
      </c>
      <c r="E522" s="3" t="s">
        <v>199</v>
      </c>
      <c r="F522" s="3" t="str">
        <f t="shared" si="2"/>
        <v>Cortesía15minMasaje Tiempo ExtraORIENTE</v>
      </c>
      <c r="G522" s="1">
        <v>10000</v>
      </c>
      <c r="H522" s="1">
        <v>5042.0168067226896</v>
      </c>
    </row>
    <row r="523" spans="1:8" ht="14.25" customHeight="1">
      <c r="A523" s="3" t="s">
        <v>273</v>
      </c>
      <c r="B523" s="3" t="s">
        <v>274</v>
      </c>
      <c r="C523" s="3" t="s">
        <v>126</v>
      </c>
      <c r="D523" s="3" t="s">
        <v>127</v>
      </c>
      <c r="E523" s="3" t="s">
        <v>199</v>
      </c>
      <c r="F523" s="3" t="str">
        <f t="shared" si="2"/>
        <v>Cortesía30minMasaje Tiempo ExtraORIENTE</v>
      </c>
      <c r="G523" s="1">
        <v>18000</v>
      </c>
      <c r="H523" s="1">
        <v>9075.6302521008402</v>
      </c>
    </row>
    <row r="524" spans="1:8" ht="14.25" customHeight="1">
      <c r="A524" s="3" t="s">
        <v>273</v>
      </c>
      <c r="B524" s="3" t="s">
        <v>274</v>
      </c>
      <c r="C524" s="3" t="s">
        <v>94</v>
      </c>
      <c r="D524" s="3" t="s">
        <v>95</v>
      </c>
      <c r="E524" s="3" t="s">
        <v>208</v>
      </c>
      <c r="F524" s="3" t="str">
        <f t="shared" si="2"/>
        <v>Cortesía15minReflexologíaPONIENTE</v>
      </c>
      <c r="G524" s="1">
        <v>10000</v>
      </c>
      <c r="H524" s="1">
        <v>5042.0168067226896</v>
      </c>
    </row>
    <row r="525" spans="1:8" ht="14.25" customHeight="1">
      <c r="A525" s="3" t="s">
        <v>273</v>
      </c>
      <c r="B525" s="3" t="s">
        <v>274</v>
      </c>
      <c r="C525" s="3" t="s">
        <v>126</v>
      </c>
      <c r="D525" s="3" t="s">
        <v>95</v>
      </c>
      <c r="E525" s="3" t="s">
        <v>208</v>
      </c>
      <c r="F525" s="3" t="str">
        <f t="shared" si="2"/>
        <v>Cortesía30minReflexologíaPONIENTE</v>
      </c>
      <c r="G525" s="1">
        <v>18000</v>
      </c>
      <c r="H525" s="1">
        <v>9075.6302521008402</v>
      </c>
    </row>
    <row r="526" spans="1:8" ht="14.25" customHeight="1">
      <c r="A526" s="3" t="s">
        <v>273</v>
      </c>
      <c r="B526" s="3" t="s">
        <v>274</v>
      </c>
      <c r="C526" s="3" t="s">
        <v>94</v>
      </c>
      <c r="D526" s="3" t="s">
        <v>96</v>
      </c>
      <c r="E526" s="3" t="s">
        <v>208</v>
      </c>
      <c r="F526" s="3" t="str">
        <f t="shared" si="2"/>
        <v>Cortesía15minCraneofacialPONIENTE</v>
      </c>
      <c r="G526" s="1">
        <v>10000</v>
      </c>
      <c r="H526" s="1">
        <v>5042.0168067226896</v>
      </c>
    </row>
    <row r="527" spans="1:8" ht="14.25" customHeight="1">
      <c r="A527" s="3" t="s">
        <v>273</v>
      </c>
      <c r="B527" s="3" t="s">
        <v>274</v>
      </c>
      <c r="C527" s="3" t="s">
        <v>126</v>
      </c>
      <c r="D527" s="3" t="s">
        <v>96</v>
      </c>
      <c r="E527" s="3" t="s">
        <v>208</v>
      </c>
      <c r="F527" s="3" t="str">
        <f t="shared" si="2"/>
        <v>Cortesía30minCraneofacialPONIENTE</v>
      </c>
      <c r="G527" s="1">
        <v>18000</v>
      </c>
      <c r="H527" s="1">
        <v>9075.6302521008402</v>
      </c>
    </row>
    <row r="528" spans="1:8" ht="14.25" customHeight="1">
      <c r="A528" s="3" t="s">
        <v>273</v>
      </c>
      <c r="B528" s="3" t="s">
        <v>274</v>
      </c>
      <c r="C528" s="3" t="s">
        <v>94</v>
      </c>
      <c r="D528" s="3" t="s">
        <v>127</v>
      </c>
      <c r="E528" s="3" t="s">
        <v>208</v>
      </c>
      <c r="F528" s="3" t="str">
        <f t="shared" si="2"/>
        <v>Cortesía15minMasaje Tiempo ExtraPONIENTE</v>
      </c>
      <c r="G528" s="1">
        <v>10000</v>
      </c>
      <c r="H528" s="1">
        <v>5042.0168067226896</v>
      </c>
    </row>
    <row r="529" spans="1:8" ht="14.25" customHeight="1">
      <c r="A529" s="3" t="s">
        <v>273</v>
      </c>
      <c r="B529" s="3" t="s">
        <v>274</v>
      </c>
      <c r="C529" s="3" t="s">
        <v>126</v>
      </c>
      <c r="D529" s="3" t="s">
        <v>127</v>
      </c>
      <c r="E529" s="3" t="s">
        <v>208</v>
      </c>
      <c r="F529" s="3" t="str">
        <f t="shared" si="2"/>
        <v>Cortesía30minMasaje Tiempo ExtraPONIENTE</v>
      </c>
      <c r="G529" s="1">
        <v>18000</v>
      </c>
      <c r="H529" s="1">
        <v>9075.6302521008402</v>
      </c>
    </row>
    <row r="530" spans="1:8" ht="14.25" customHeight="1">
      <c r="A530" s="3" t="s">
        <v>273</v>
      </c>
      <c r="B530" s="3" t="s">
        <v>274</v>
      </c>
      <c r="C530" s="3" t="s">
        <v>94</v>
      </c>
      <c r="D530" s="3" t="s">
        <v>95</v>
      </c>
      <c r="E530" s="3" t="s">
        <v>209</v>
      </c>
      <c r="F530" s="3" t="str">
        <f t="shared" si="2"/>
        <v>Cortesía15minReflexologíaNORTE</v>
      </c>
      <c r="G530" s="1">
        <v>10000</v>
      </c>
      <c r="H530" s="1">
        <v>5042.0168067226896</v>
      </c>
    </row>
    <row r="531" spans="1:8" ht="14.25" customHeight="1">
      <c r="A531" s="3" t="s">
        <v>273</v>
      </c>
      <c r="B531" s="3" t="s">
        <v>274</v>
      </c>
      <c r="C531" s="3" t="s">
        <v>126</v>
      </c>
      <c r="D531" s="3" t="s">
        <v>95</v>
      </c>
      <c r="E531" s="3" t="s">
        <v>209</v>
      </c>
      <c r="F531" s="3" t="str">
        <f t="shared" si="2"/>
        <v>Cortesía30minReflexologíaNORTE</v>
      </c>
      <c r="G531" s="1">
        <v>18000</v>
      </c>
      <c r="H531" s="1">
        <v>9075.6302521008402</v>
      </c>
    </row>
    <row r="532" spans="1:8" ht="14.25" customHeight="1">
      <c r="A532" s="3" t="s">
        <v>273</v>
      </c>
      <c r="B532" s="3" t="s">
        <v>274</v>
      </c>
      <c r="C532" s="3" t="s">
        <v>94</v>
      </c>
      <c r="D532" s="3" t="s">
        <v>96</v>
      </c>
      <c r="E532" s="3" t="s">
        <v>209</v>
      </c>
      <c r="F532" s="3" t="str">
        <f t="shared" si="2"/>
        <v>Cortesía15minCraneofacialNORTE</v>
      </c>
      <c r="G532" s="1">
        <v>10000</v>
      </c>
      <c r="H532" s="1">
        <v>5042.0168067226896</v>
      </c>
    </row>
    <row r="533" spans="1:8" ht="14.25" customHeight="1">
      <c r="A533" s="3" t="s">
        <v>273</v>
      </c>
      <c r="B533" s="3" t="s">
        <v>274</v>
      </c>
      <c r="C533" s="3" t="s">
        <v>126</v>
      </c>
      <c r="D533" s="3" t="s">
        <v>96</v>
      </c>
      <c r="E533" s="3" t="s">
        <v>209</v>
      </c>
      <c r="F533" s="3" t="str">
        <f t="shared" si="2"/>
        <v>Cortesía30minCraneofacialNORTE</v>
      </c>
      <c r="G533" s="1">
        <v>18000</v>
      </c>
      <c r="H533" s="1">
        <v>9075.6302521008402</v>
      </c>
    </row>
    <row r="534" spans="1:8" ht="14.25" customHeight="1">
      <c r="A534" s="3" t="s">
        <v>273</v>
      </c>
      <c r="B534" s="3" t="s">
        <v>274</v>
      </c>
      <c r="C534" s="3" t="s">
        <v>94</v>
      </c>
      <c r="D534" s="3" t="s">
        <v>127</v>
      </c>
      <c r="E534" s="3" t="s">
        <v>209</v>
      </c>
      <c r="F534" s="3" t="str">
        <f t="shared" si="2"/>
        <v>Cortesía15minMasaje Tiempo ExtraNORTE</v>
      </c>
      <c r="G534" s="1">
        <v>10000</v>
      </c>
      <c r="H534" s="1">
        <v>5042.0168067226896</v>
      </c>
    </row>
    <row r="535" spans="1:8" ht="14.25" customHeight="1">
      <c r="A535" s="3" t="s">
        <v>273</v>
      </c>
      <c r="B535" s="3" t="s">
        <v>274</v>
      </c>
      <c r="C535" s="3" t="s">
        <v>126</v>
      </c>
      <c r="D535" s="3" t="s">
        <v>127</v>
      </c>
      <c r="E535" s="3" t="s">
        <v>209</v>
      </c>
      <c r="F535" s="3" t="str">
        <f t="shared" si="2"/>
        <v>Cortesía30minMasaje Tiempo ExtraNORTE</v>
      </c>
      <c r="G535" s="1">
        <v>18000</v>
      </c>
      <c r="H535" s="1">
        <v>9075.6302521008402</v>
      </c>
    </row>
    <row r="536" spans="1:8" ht="14.25" customHeight="1">
      <c r="A536" s="3" t="s">
        <v>273</v>
      </c>
      <c r="B536" s="3" t="s">
        <v>274</v>
      </c>
      <c r="C536" s="3" t="s">
        <v>94</v>
      </c>
      <c r="D536" s="3" t="s">
        <v>95</v>
      </c>
      <c r="E536" s="3" t="s">
        <v>210</v>
      </c>
      <c r="F536" s="3" t="str">
        <f t="shared" si="2"/>
        <v>Cortesía15minReflexologíaSUR</v>
      </c>
      <c r="G536" s="1">
        <v>10000</v>
      </c>
      <c r="H536" s="1">
        <v>5042.0168067226896</v>
      </c>
    </row>
    <row r="537" spans="1:8" ht="14.25" customHeight="1">
      <c r="A537" s="3" t="s">
        <v>273</v>
      </c>
      <c r="B537" s="3" t="s">
        <v>274</v>
      </c>
      <c r="C537" s="3" t="s">
        <v>126</v>
      </c>
      <c r="D537" s="3" t="s">
        <v>95</v>
      </c>
      <c r="E537" s="3" t="s">
        <v>210</v>
      </c>
      <c r="F537" s="3" t="str">
        <f t="shared" si="2"/>
        <v>Cortesía30minReflexologíaSUR</v>
      </c>
      <c r="G537" s="1">
        <v>18000</v>
      </c>
      <c r="H537" s="1">
        <v>9075.6302521008402</v>
      </c>
    </row>
    <row r="538" spans="1:8" ht="14.25" customHeight="1">
      <c r="A538" s="3" t="s">
        <v>273</v>
      </c>
      <c r="B538" s="3" t="s">
        <v>274</v>
      </c>
      <c r="C538" s="3" t="s">
        <v>94</v>
      </c>
      <c r="D538" s="3" t="s">
        <v>96</v>
      </c>
      <c r="E538" s="3" t="s">
        <v>210</v>
      </c>
      <c r="F538" s="3" t="str">
        <f t="shared" si="2"/>
        <v>Cortesía15minCraneofacialSUR</v>
      </c>
      <c r="G538" s="1">
        <v>10000</v>
      </c>
      <c r="H538" s="1">
        <v>5042.0168067226896</v>
      </c>
    </row>
    <row r="539" spans="1:8" ht="14.25" customHeight="1">
      <c r="A539" s="3" t="s">
        <v>273</v>
      </c>
      <c r="B539" s="3" t="s">
        <v>274</v>
      </c>
      <c r="C539" s="3" t="s">
        <v>126</v>
      </c>
      <c r="D539" s="3" t="s">
        <v>96</v>
      </c>
      <c r="E539" s="3" t="s">
        <v>210</v>
      </c>
      <c r="F539" s="3" t="str">
        <f t="shared" si="2"/>
        <v>Cortesía30minCraneofacialSUR</v>
      </c>
      <c r="G539" s="1">
        <v>18000</v>
      </c>
      <c r="H539" s="1">
        <v>9075.6302521008402</v>
      </c>
    </row>
    <row r="540" spans="1:8" ht="14.25" customHeight="1">
      <c r="A540" s="3" t="s">
        <v>273</v>
      </c>
      <c r="B540" s="3" t="s">
        <v>274</v>
      </c>
      <c r="C540" s="3" t="s">
        <v>94</v>
      </c>
      <c r="D540" s="3" t="s">
        <v>127</v>
      </c>
      <c r="E540" s="3" t="s">
        <v>210</v>
      </c>
      <c r="F540" s="3" t="str">
        <f t="shared" si="2"/>
        <v>Cortesía15minMasaje Tiempo ExtraSUR</v>
      </c>
      <c r="G540" s="1">
        <v>10000</v>
      </c>
      <c r="H540" s="1">
        <v>5042.0168067226896</v>
      </c>
    </row>
    <row r="541" spans="1:8" ht="14.25" customHeight="1">
      <c r="A541" s="3" t="s">
        <v>273</v>
      </c>
      <c r="B541" s="3" t="s">
        <v>274</v>
      </c>
      <c r="C541" s="3" t="s">
        <v>126</v>
      </c>
      <c r="D541" s="3" t="s">
        <v>127</v>
      </c>
      <c r="E541" s="3" t="s">
        <v>210</v>
      </c>
      <c r="F541" s="3" t="str">
        <f t="shared" si="2"/>
        <v>Cortesía30minMasaje Tiempo ExtraSUR</v>
      </c>
      <c r="G541" s="1">
        <v>18000</v>
      </c>
      <c r="H541" s="1">
        <v>9075.6302521008402</v>
      </c>
    </row>
    <row r="542" spans="1:8" ht="14.25" customHeight="1">
      <c r="A542" s="3" t="s">
        <v>273</v>
      </c>
      <c r="B542" s="3" t="s">
        <v>274</v>
      </c>
      <c r="C542" s="3" t="s">
        <v>94</v>
      </c>
      <c r="D542" s="3" t="s">
        <v>95</v>
      </c>
      <c r="E542" s="3" t="s">
        <v>108</v>
      </c>
      <c r="F542" s="3" t="str">
        <f t="shared" si="2"/>
        <v>Cortesía15minReflexologíaLO BARNECHEA</v>
      </c>
      <c r="G542" s="1">
        <v>10000</v>
      </c>
      <c r="H542" s="1">
        <v>5042.0168067226896</v>
      </c>
    </row>
    <row r="543" spans="1:8" ht="14.25" customHeight="1">
      <c r="A543" s="3" t="s">
        <v>273</v>
      </c>
      <c r="B543" s="3" t="s">
        <v>274</v>
      </c>
      <c r="C543" s="3" t="s">
        <v>126</v>
      </c>
      <c r="D543" s="3" t="s">
        <v>95</v>
      </c>
      <c r="E543" s="3" t="s">
        <v>108</v>
      </c>
      <c r="F543" s="3" t="str">
        <f t="shared" si="2"/>
        <v>Cortesía30minReflexologíaLO BARNECHEA</v>
      </c>
      <c r="G543" s="1">
        <v>18000</v>
      </c>
      <c r="H543" s="1">
        <v>9075.6302521008402</v>
      </c>
    </row>
    <row r="544" spans="1:8" ht="14.25" customHeight="1">
      <c r="A544" s="3" t="s">
        <v>273</v>
      </c>
      <c r="B544" s="3" t="s">
        <v>274</v>
      </c>
      <c r="C544" s="3" t="s">
        <v>94</v>
      </c>
      <c r="D544" s="3" t="s">
        <v>96</v>
      </c>
      <c r="E544" s="3" t="s">
        <v>108</v>
      </c>
      <c r="F544" s="3" t="str">
        <f t="shared" si="2"/>
        <v>Cortesía15minCraneofacialLO BARNECHEA</v>
      </c>
      <c r="G544" s="1">
        <v>10000</v>
      </c>
      <c r="H544" s="1">
        <v>5042.0168067226896</v>
      </c>
    </row>
    <row r="545" spans="1:8" ht="14.25" customHeight="1">
      <c r="A545" s="3" t="s">
        <v>273</v>
      </c>
      <c r="B545" s="3" t="s">
        <v>274</v>
      </c>
      <c r="C545" s="3" t="s">
        <v>126</v>
      </c>
      <c r="D545" s="3" t="s">
        <v>96</v>
      </c>
      <c r="E545" s="3" t="s">
        <v>108</v>
      </c>
      <c r="F545" s="3" t="str">
        <f t="shared" si="2"/>
        <v>Cortesía30minCraneofacialLO BARNECHEA</v>
      </c>
      <c r="G545" s="1">
        <v>18000</v>
      </c>
      <c r="H545" s="1">
        <v>9075.6302521008402</v>
      </c>
    </row>
    <row r="546" spans="1:8" ht="14.25" customHeight="1">
      <c r="A546" s="3" t="s">
        <v>273</v>
      </c>
      <c r="B546" s="3" t="s">
        <v>274</v>
      </c>
      <c r="C546" s="3" t="s">
        <v>94</v>
      </c>
      <c r="D546" s="3" t="s">
        <v>127</v>
      </c>
      <c r="E546" s="3" t="s">
        <v>108</v>
      </c>
      <c r="F546" s="3" t="str">
        <f t="shared" si="2"/>
        <v>Cortesía15minMasaje Tiempo ExtraLO BARNECHEA</v>
      </c>
      <c r="G546" s="1">
        <v>10000</v>
      </c>
      <c r="H546" s="1">
        <v>5042.0168067226896</v>
      </c>
    </row>
    <row r="547" spans="1:8" ht="14.25" customHeight="1">
      <c r="A547" s="3" t="s">
        <v>273</v>
      </c>
      <c r="B547" s="3" t="s">
        <v>274</v>
      </c>
      <c r="C547" s="3" t="s">
        <v>126</v>
      </c>
      <c r="D547" s="3" t="s">
        <v>127</v>
      </c>
      <c r="E547" s="3" t="s">
        <v>108</v>
      </c>
      <c r="F547" s="3" t="str">
        <f t="shared" si="2"/>
        <v>Cortesía30minMasaje Tiempo ExtraLO BARNECHEA</v>
      </c>
      <c r="G547" s="1">
        <v>18000</v>
      </c>
      <c r="H547" s="1">
        <v>9075.6302521008402</v>
      </c>
    </row>
    <row r="548" spans="1:8" ht="14.25" customHeight="1">
      <c r="A548" s="3" t="s">
        <v>273</v>
      </c>
      <c r="B548" s="3" t="s">
        <v>274</v>
      </c>
      <c r="C548" s="3" t="s">
        <v>94</v>
      </c>
      <c r="D548" s="3" t="s">
        <v>95</v>
      </c>
      <c r="E548" s="3" t="s">
        <v>101</v>
      </c>
      <c r="F548" s="3" t="str">
        <f t="shared" si="2"/>
        <v>Cortesía15minReflexologíaCOLINA</v>
      </c>
      <c r="G548" s="1">
        <v>10000</v>
      </c>
      <c r="H548" s="1">
        <v>5042.0168067226896</v>
      </c>
    </row>
    <row r="549" spans="1:8" ht="14.25" customHeight="1">
      <c r="A549" s="3" t="s">
        <v>273</v>
      </c>
      <c r="B549" s="3" t="s">
        <v>274</v>
      </c>
      <c r="C549" s="3" t="s">
        <v>126</v>
      </c>
      <c r="D549" s="3" t="s">
        <v>95</v>
      </c>
      <c r="E549" s="3" t="s">
        <v>101</v>
      </c>
      <c r="F549" s="3" t="str">
        <f t="shared" si="2"/>
        <v>Cortesía30minReflexologíaCOLINA</v>
      </c>
      <c r="G549" s="1">
        <v>18000</v>
      </c>
      <c r="H549" s="1">
        <v>9075.6302521008402</v>
      </c>
    </row>
    <row r="550" spans="1:8" ht="14.25" customHeight="1">
      <c r="A550" s="3" t="s">
        <v>273</v>
      </c>
      <c r="B550" s="3" t="s">
        <v>274</v>
      </c>
      <c r="C550" s="3" t="s">
        <v>94</v>
      </c>
      <c r="D550" s="3" t="s">
        <v>96</v>
      </c>
      <c r="E550" s="3" t="s">
        <v>101</v>
      </c>
      <c r="F550" s="3" t="str">
        <f t="shared" si="2"/>
        <v>Cortesía15minCraneofacialCOLINA</v>
      </c>
      <c r="G550" s="1">
        <v>10000</v>
      </c>
      <c r="H550" s="1">
        <v>5042.0168067226896</v>
      </c>
    </row>
    <row r="551" spans="1:8" ht="14.25" customHeight="1">
      <c r="A551" s="3" t="s">
        <v>273</v>
      </c>
      <c r="B551" s="3" t="s">
        <v>274</v>
      </c>
      <c r="C551" s="3" t="s">
        <v>126</v>
      </c>
      <c r="D551" s="3" t="s">
        <v>96</v>
      </c>
      <c r="E551" s="3" t="s">
        <v>101</v>
      </c>
      <c r="F551" s="3" t="str">
        <f t="shared" si="2"/>
        <v>Cortesía30minCraneofacialCOLINA</v>
      </c>
      <c r="G551" s="1">
        <v>18000</v>
      </c>
      <c r="H551" s="1">
        <v>9075.6302521008402</v>
      </c>
    </row>
    <row r="552" spans="1:8" ht="14.25" customHeight="1">
      <c r="A552" s="3" t="s">
        <v>273</v>
      </c>
      <c r="B552" s="3" t="s">
        <v>274</v>
      </c>
      <c r="C552" s="3" t="s">
        <v>94</v>
      </c>
      <c r="D552" s="3" t="s">
        <v>127</v>
      </c>
      <c r="E552" s="3" t="s">
        <v>101</v>
      </c>
      <c r="F552" s="3" t="str">
        <f t="shared" si="2"/>
        <v>Cortesía15minMasaje Tiempo ExtraCOLINA</v>
      </c>
      <c r="G552" s="1">
        <v>10000</v>
      </c>
      <c r="H552" s="1">
        <v>5042.0168067226896</v>
      </c>
    </row>
    <row r="553" spans="1:8" ht="14.25" customHeight="1">
      <c r="A553" s="3" t="s">
        <v>273</v>
      </c>
      <c r="B553" s="3" t="s">
        <v>274</v>
      </c>
      <c r="C553" s="3" t="s">
        <v>126</v>
      </c>
      <c r="D553" s="3" t="s">
        <v>127</v>
      </c>
      <c r="E553" s="3" t="s">
        <v>101</v>
      </c>
      <c r="F553" s="3" t="str">
        <f t="shared" si="2"/>
        <v>Cortesía30minMasaje Tiempo ExtraCOLINA</v>
      </c>
      <c r="G553" s="1">
        <v>18000</v>
      </c>
      <c r="H553" s="1">
        <v>9075.6302521008402</v>
      </c>
    </row>
    <row r="554" spans="1:8" ht="14.25" customHeight="1">
      <c r="A554" s="3" t="s">
        <v>273</v>
      </c>
      <c r="B554" s="3" t="s">
        <v>274</v>
      </c>
      <c r="C554" s="3" t="s">
        <v>94</v>
      </c>
      <c r="D554" s="3" t="s">
        <v>95</v>
      </c>
      <c r="E554" s="3" t="s">
        <v>211</v>
      </c>
      <c r="F554" s="3" t="str">
        <f t="shared" si="2"/>
        <v>Cortesía15minReflexologíaZONA COSTA</v>
      </c>
      <c r="G554" s="1">
        <v>10000</v>
      </c>
      <c r="H554" s="1">
        <v>5042.0168067226896</v>
      </c>
    </row>
    <row r="555" spans="1:8" ht="14.25" customHeight="1">
      <c r="A555" s="3" t="s">
        <v>273</v>
      </c>
      <c r="B555" s="3" t="s">
        <v>274</v>
      </c>
      <c r="C555" s="3" t="s">
        <v>126</v>
      </c>
      <c r="D555" s="3" t="s">
        <v>95</v>
      </c>
      <c r="E555" s="3" t="s">
        <v>211</v>
      </c>
      <c r="F555" s="3" t="str">
        <f t="shared" si="2"/>
        <v>Cortesía30minReflexologíaZONA COSTA</v>
      </c>
      <c r="G555" s="1">
        <v>18000</v>
      </c>
      <c r="H555" s="1">
        <v>9075.6302521008402</v>
      </c>
    </row>
    <row r="556" spans="1:8" ht="14.25" customHeight="1">
      <c r="A556" s="3" t="s">
        <v>273</v>
      </c>
      <c r="B556" s="3" t="s">
        <v>274</v>
      </c>
      <c r="C556" s="3" t="s">
        <v>94</v>
      </c>
      <c r="D556" s="3" t="s">
        <v>96</v>
      </c>
      <c r="E556" s="3" t="s">
        <v>211</v>
      </c>
      <c r="F556" s="3" t="str">
        <f t="shared" si="2"/>
        <v>Cortesía15minCraneofacialZONA COSTA</v>
      </c>
      <c r="G556" s="1">
        <v>10000</v>
      </c>
      <c r="H556" s="1">
        <v>5042.0168067226896</v>
      </c>
    </row>
    <row r="557" spans="1:8" ht="14.25" customHeight="1">
      <c r="A557" s="3" t="s">
        <v>273</v>
      </c>
      <c r="B557" s="3" t="s">
        <v>274</v>
      </c>
      <c r="C557" s="3" t="s">
        <v>126</v>
      </c>
      <c r="D557" s="3" t="s">
        <v>96</v>
      </c>
      <c r="E557" s="3" t="s">
        <v>211</v>
      </c>
      <c r="F557" s="3" t="str">
        <f t="shared" si="2"/>
        <v>Cortesía30minCraneofacialZONA COSTA</v>
      </c>
      <c r="G557" s="1">
        <v>18000</v>
      </c>
      <c r="H557" s="1">
        <v>9075.6302521008402</v>
      </c>
    </row>
    <row r="558" spans="1:8" ht="14.25" customHeight="1">
      <c r="A558" s="3" t="s">
        <v>273</v>
      </c>
      <c r="B558" s="3" t="s">
        <v>274</v>
      </c>
      <c r="C558" s="3" t="s">
        <v>94</v>
      </c>
      <c r="D558" s="3" t="s">
        <v>127</v>
      </c>
      <c r="E558" s="3" t="s">
        <v>211</v>
      </c>
      <c r="F558" s="3" t="str">
        <f t="shared" si="2"/>
        <v>Cortesía15minMasaje Tiempo ExtraZONA COSTA</v>
      </c>
      <c r="G558" s="1">
        <v>10000</v>
      </c>
      <c r="H558" s="1">
        <v>5042.0168067226896</v>
      </c>
    </row>
    <row r="559" spans="1:8" ht="14.25" customHeight="1">
      <c r="A559" s="3" t="s">
        <v>273</v>
      </c>
      <c r="B559" s="3" t="s">
        <v>274</v>
      </c>
      <c r="C559" s="3" t="s">
        <v>126</v>
      </c>
      <c r="D559" s="3" t="s">
        <v>127</v>
      </c>
      <c r="E559" s="3" t="s">
        <v>211</v>
      </c>
      <c r="F559" s="3" t="str">
        <f t="shared" si="2"/>
        <v>Cortesía30minMasaje Tiempo ExtraZONA COSTA</v>
      </c>
      <c r="G559" s="1">
        <v>18000</v>
      </c>
      <c r="H559" s="1">
        <v>9075.6302521008402</v>
      </c>
    </row>
    <row r="560" spans="1:8" ht="14.25" customHeight="1">
      <c r="A560" s="3" t="s">
        <v>273</v>
      </c>
      <c r="B560" s="3" t="s">
        <v>274</v>
      </c>
      <c r="C560" s="3" t="s">
        <v>94</v>
      </c>
      <c r="D560" s="3" t="s">
        <v>113</v>
      </c>
      <c r="E560" s="3" t="s">
        <v>199</v>
      </c>
      <c r="F560" s="3" t="str">
        <f t="shared" si="2"/>
        <v>Cortesía15minYoga FacialORIENTE</v>
      </c>
      <c r="G560" s="1">
        <v>12000</v>
      </c>
      <c r="H560" s="1">
        <v>6050.4201680672277</v>
      </c>
    </row>
    <row r="561" spans="1:8" ht="14.25" customHeight="1">
      <c r="A561" s="3" t="s">
        <v>273</v>
      </c>
      <c r="B561" s="3" t="s">
        <v>274</v>
      </c>
      <c r="C561" s="3" t="s">
        <v>126</v>
      </c>
      <c r="D561" s="3" t="s">
        <v>113</v>
      </c>
      <c r="E561" s="3" t="s">
        <v>208</v>
      </c>
      <c r="F561" s="3" t="str">
        <f t="shared" si="2"/>
        <v>Cortesía30minYoga FacialPONIENTE</v>
      </c>
      <c r="G561" s="1">
        <v>20000</v>
      </c>
      <c r="H561" s="1">
        <v>10084.033613445379</v>
      </c>
    </row>
    <row r="562" spans="1:8" ht="14.25" customHeight="1">
      <c r="A562" s="3" t="s">
        <v>273</v>
      </c>
      <c r="B562" s="3" t="s">
        <v>274</v>
      </c>
      <c r="C562" s="3" t="s">
        <v>94</v>
      </c>
      <c r="D562" s="3" t="s">
        <v>113</v>
      </c>
      <c r="E562" s="3" t="s">
        <v>210</v>
      </c>
      <c r="F562" s="3" t="str">
        <f t="shared" si="2"/>
        <v>Cortesía15minYoga FacialSUR</v>
      </c>
      <c r="G562" s="1">
        <v>12000</v>
      </c>
      <c r="H562" s="1">
        <v>6050.4201680672277</v>
      </c>
    </row>
    <row r="563" spans="1:8" ht="14.25" customHeight="1">
      <c r="A563" s="3" t="s">
        <v>273</v>
      </c>
      <c r="B563" s="3" t="s">
        <v>274</v>
      </c>
      <c r="C563" s="3" t="s">
        <v>126</v>
      </c>
      <c r="D563" s="3" t="s">
        <v>113</v>
      </c>
      <c r="E563" s="3" t="s">
        <v>209</v>
      </c>
      <c r="F563" s="3" t="str">
        <f t="shared" si="2"/>
        <v>Cortesía30minYoga FacialNORTE</v>
      </c>
      <c r="G563" s="1">
        <v>20000</v>
      </c>
      <c r="H563" s="1">
        <v>10084.033613445379</v>
      </c>
    </row>
    <row r="564" spans="1:8" ht="14.25" customHeight="1">
      <c r="A564" s="3" t="s">
        <v>273</v>
      </c>
      <c r="B564" s="3" t="s">
        <v>274</v>
      </c>
      <c r="C564" s="3" t="s">
        <v>94</v>
      </c>
      <c r="D564" s="3" t="s">
        <v>113</v>
      </c>
      <c r="E564" s="3" t="s">
        <v>101</v>
      </c>
      <c r="F564" s="3" t="str">
        <f t="shared" si="2"/>
        <v>Cortesía15minYoga FacialCOLINA</v>
      </c>
      <c r="G564" s="1">
        <v>12000</v>
      </c>
      <c r="H564" s="1">
        <v>6050.4201680672277</v>
      </c>
    </row>
    <row r="565" spans="1:8" ht="14.25" customHeight="1">
      <c r="A565" s="3" t="s">
        <v>273</v>
      </c>
      <c r="B565" s="3" t="s">
        <v>274</v>
      </c>
      <c r="C565" s="3" t="s">
        <v>126</v>
      </c>
      <c r="D565" s="3" t="s">
        <v>113</v>
      </c>
      <c r="E565" s="3" t="s">
        <v>108</v>
      </c>
      <c r="F565" s="3" t="str">
        <f t="shared" si="2"/>
        <v>Cortesía30minYoga FacialLO BARNECHEA</v>
      </c>
      <c r="G565" s="1">
        <v>20000</v>
      </c>
      <c r="H565" s="1">
        <v>10084.033613445379</v>
      </c>
    </row>
    <row r="566" spans="1:8" ht="14.25" customHeight="1">
      <c r="A566" s="3" t="s">
        <v>273</v>
      </c>
      <c r="B566" s="3" t="s">
        <v>274</v>
      </c>
      <c r="C566" s="3" t="s">
        <v>94</v>
      </c>
      <c r="D566" s="3" t="s">
        <v>113</v>
      </c>
      <c r="E566" s="3" t="s">
        <v>108</v>
      </c>
      <c r="F566" s="3" t="str">
        <f t="shared" si="2"/>
        <v>Cortesía15minYoga FacialLO BARNECHEA</v>
      </c>
      <c r="G566" s="1">
        <v>12000</v>
      </c>
      <c r="H566" s="1">
        <v>6050.4201680672277</v>
      </c>
    </row>
    <row r="567" spans="1:8" ht="14.25" customHeight="1">
      <c r="A567" s="3" t="s">
        <v>273</v>
      </c>
      <c r="B567" s="3" t="s">
        <v>274</v>
      </c>
      <c r="C567" s="3" t="s">
        <v>126</v>
      </c>
      <c r="D567" s="3" t="s">
        <v>113</v>
      </c>
      <c r="E567" s="3" t="s">
        <v>199</v>
      </c>
      <c r="F567" s="3" t="str">
        <f t="shared" si="2"/>
        <v>Cortesía30minYoga FacialORIENTE</v>
      </c>
      <c r="G567" s="1">
        <v>20000</v>
      </c>
      <c r="H567" s="1">
        <v>10084.033613445379</v>
      </c>
    </row>
    <row r="568" spans="1:8" ht="14.25" customHeight="1">
      <c r="A568" s="3" t="s">
        <v>93</v>
      </c>
      <c r="B568" s="3" t="s">
        <v>262</v>
      </c>
      <c r="C568" s="3" t="s">
        <v>94</v>
      </c>
      <c r="D568" s="3" t="s">
        <v>113</v>
      </c>
      <c r="E568" s="3" t="s">
        <v>208</v>
      </c>
      <c r="F568" s="3" t="str">
        <f t="shared" si="2"/>
        <v>Addon15minYoga FacialPONIENTE</v>
      </c>
      <c r="G568" s="1">
        <v>12000</v>
      </c>
      <c r="H568" s="1">
        <v>6050.4201680672277</v>
      </c>
    </row>
    <row r="569" spans="1:8" ht="14.25" customHeight="1">
      <c r="A569" s="3" t="s">
        <v>82</v>
      </c>
      <c r="B569" s="3" t="s">
        <v>83</v>
      </c>
      <c r="C569" s="3" t="s">
        <v>84</v>
      </c>
      <c r="D569" s="3" t="s">
        <v>123</v>
      </c>
      <c r="E569" s="3" t="s">
        <v>267</v>
      </c>
      <c r="F569" s="3" t="str">
        <f t="shared" si="2"/>
        <v>Masaje60minTejido profundoZONA IQUIQUE</v>
      </c>
      <c r="G569" s="1">
        <v>45000</v>
      </c>
      <c r="H569" s="1">
        <v>22689.0756302521</v>
      </c>
    </row>
    <row r="570" spans="1:8" ht="14.25" customHeight="1">
      <c r="A570" s="3" t="s">
        <v>82</v>
      </c>
      <c r="B570" s="3" t="s">
        <v>83</v>
      </c>
      <c r="C570" s="3" t="s">
        <v>84</v>
      </c>
      <c r="D570" s="3" t="s">
        <v>123</v>
      </c>
      <c r="E570" s="3" t="s">
        <v>173</v>
      </c>
      <c r="F570" s="3" t="str">
        <f t="shared" si="2"/>
        <v>Masaje60minTejido profundoLA SERENA</v>
      </c>
      <c r="G570" s="1">
        <v>45000</v>
      </c>
      <c r="H570" s="1">
        <v>22689.0756302521</v>
      </c>
    </row>
    <row r="571" spans="1:8" ht="14.25" customHeight="1">
      <c r="A571" s="3" t="s">
        <v>82</v>
      </c>
      <c r="B571" s="3" t="s">
        <v>83</v>
      </c>
      <c r="C571" s="3" t="s">
        <v>146</v>
      </c>
      <c r="D571" s="3" t="s">
        <v>85</v>
      </c>
      <c r="E571" s="3" t="s">
        <v>267</v>
      </c>
      <c r="F571" s="3" t="str">
        <f t="shared" si="2"/>
        <v>Masaje90minRelajanteZONA IQUIQUE</v>
      </c>
      <c r="G571" s="1">
        <v>63000</v>
      </c>
      <c r="H571" s="1">
        <v>31765</v>
      </c>
    </row>
    <row r="572" spans="1:8" ht="14.25" customHeight="1">
      <c r="A572" s="3" t="s">
        <v>82</v>
      </c>
      <c r="B572" s="3" t="s">
        <v>83</v>
      </c>
      <c r="C572" s="3" t="s">
        <v>84</v>
      </c>
      <c r="D572" s="3" t="s">
        <v>85</v>
      </c>
      <c r="E572" s="3" t="s">
        <v>173</v>
      </c>
      <c r="F572" s="3" t="str">
        <f t="shared" si="2"/>
        <v>Masaje60minRelajanteLA SERENA</v>
      </c>
      <c r="G572" s="3">
        <v>45000</v>
      </c>
      <c r="H572" s="1">
        <v>22689</v>
      </c>
    </row>
    <row r="573" spans="1:8" ht="14.25" customHeight="1">
      <c r="A573" s="3" t="s">
        <v>82</v>
      </c>
      <c r="B573" s="3" t="s">
        <v>83</v>
      </c>
      <c r="C573" s="3" t="s">
        <v>146</v>
      </c>
      <c r="D573" s="3" t="s">
        <v>85</v>
      </c>
      <c r="E573" s="3" t="s">
        <v>173</v>
      </c>
      <c r="F573" s="3" t="str">
        <f t="shared" si="2"/>
        <v>Masaje90minRelajanteLA SERENA</v>
      </c>
      <c r="G573" s="3">
        <v>63000</v>
      </c>
      <c r="H573" s="1">
        <v>31765</v>
      </c>
    </row>
    <row r="574" spans="1:8" ht="14.25" customHeight="1">
      <c r="A574" s="3" t="s">
        <v>82</v>
      </c>
      <c r="B574" s="3" t="s">
        <v>83</v>
      </c>
      <c r="C574" s="3" t="s">
        <v>120</v>
      </c>
      <c r="D574" s="3" t="s">
        <v>85</v>
      </c>
      <c r="E574" s="3" t="s">
        <v>173</v>
      </c>
      <c r="F574" s="3" t="str">
        <f t="shared" si="2"/>
        <v>Masaje120minRelajanteLA SERENA</v>
      </c>
      <c r="G574" s="3">
        <v>76000</v>
      </c>
      <c r="H574" s="1">
        <v>38319</v>
      </c>
    </row>
    <row r="575" spans="1:8" ht="14.25" customHeight="1">
      <c r="A575" s="3" t="s">
        <v>82</v>
      </c>
      <c r="B575" s="3" t="s">
        <v>83</v>
      </c>
      <c r="C575" s="3" t="s">
        <v>84</v>
      </c>
      <c r="D575" s="3" t="s">
        <v>100</v>
      </c>
      <c r="E575" s="3" t="s">
        <v>173</v>
      </c>
      <c r="F575" s="3" t="str">
        <f t="shared" si="2"/>
        <v>Masaje60minPrenatalLA SERENA</v>
      </c>
      <c r="G575" s="3">
        <v>45000</v>
      </c>
      <c r="H575" s="1">
        <v>22689</v>
      </c>
    </row>
    <row r="576" spans="1:8" ht="14.25" customHeight="1">
      <c r="A576" s="3" t="s">
        <v>82</v>
      </c>
      <c r="B576" s="3" t="s">
        <v>83</v>
      </c>
      <c r="C576" s="3" t="s">
        <v>146</v>
      </c>
      <c r="D576" s="3" t="s">
        <v>100</v>
      </c>
      <c r="E576" s="3" t="s">
        <v>173</v>
      </c>
      <c r="F576" s="3" t="str">
        <f t="shared" si="2"/>
        <v>Masaje90minPrenatalLA SERENA</v>
      </c>
      <c r="G576" s="3">
        <v>63000</v>
      </c>
      <c r="H576" s="1">
        <v>31765</v>
      </c>
    </row>
    <row r="577" spans="1:8" ht="14.25" customHeight="1">
      <c r="A577" s="3" t="s">
        <v>82</v>
      </c>
      <c r="B577" s="3" t="s">
        <v>83</v>
      </c>
      <c r="C577" s="3" t="s">
        <v>120</v>
      </c>
      <c r="D577" s="3" t="s">
        <v>100</v>
      </c>
      <c r="E577" s="3" t="s">
        <v>173</v>
      </c>
      <c r="F577" s="3" t="str">
        <f t="shared" si="2"/>
        <v>Masaje120minPrenatalLA SERENA</v>
      </c>
      <c r="G577" s="3">
        <v>76000</v>
      </c>
      <c r="H577" s="1">
        <v>38319</v>
      </c>
    </row>
    <row r="578" spans="1:8" ht="14.25" customHeight="1">
      <c r="A578" s="3" t="s">
        <v>82</v>
      </c>
      <c r="B578" s="3" t="s">
        <v>83</v>
      </c>
      <c r="C578" s="3" t="s">
        <v>146</v>
      </c>
      <c r="D578" s="3" t="s">
        <v>123</v>
      </c>
      <c r="E578" s="3" t="s">
        <v>173</v>
      </c>
      <c r="F578" s="3" t="str">
        <f t="shared" si="2"/>
        <v>Masaje90minTejido profundoLA SERENA</v>
      </c>
      <c r="G578" s="3">
        <v>63000</v>
      </c>
      <c r="H578" s="1">
        <v>31765</v>
      </c>
    </row>
    <row r="579" spans="1:8" ht="14.25" customHeight="1">
      <c r="A579" s="3" t="s">
        <v>82</v>
      </c>
      <c r="B579" s="3" t="s">
        <v>83</v>
      </c>
      <c r="C579" s="3" t="s">
        <v>120</v>
      </c>
      <c r="D579" s="3" t="s">
        <v>123</v>
      </c>
      <c r="E579" s="3" t="s">
        <v>173</v>
      </c>
      <c r="F579" s="3" t="str">
        <f t="shared" si="2"/>
        <v>Masaje120minTejido profundoLA SERENA</v>
      </c>
      <c r="G579" s="3">
        <v>76000</v>
      </c>
      <c r="H579" s="1">
        <v>38319.327731092439</v>
      </c>
    </row>
    <row r="580" spans="1:8" ht="14.25" customHeight="1">
      <c r="A580" s="3" t="s">
        <v>82</v>
      </c>
      <c r="B580" s="3" t="s">
        <v>83</v>
      </c>
      <c r="C580" s="3" t="s">
        <v>84</v>
      </c>
      <c r="D580" s="3" t="s">
        <v>150</v>
      </c>
      <c r="E580" s="3" t="s">
        <v>173</v>
      </c>
      <c r="F580" s="3" t="str">
        <f t="shared" si="2"/>
        <v>Masaje60minDeportivoLA SERENA</v>
      </c>
      <c r="G580" s="3">
        <v>45000</v>
      </c>
      <c r="H580" s="1">
        <v>22689.0756302521</v>
      </c>
    </row>
    <row r="581" spans="1:8" ht="14.25" customHeight="1">
      <c r="A581" s="3" t="s">
        <v>82</v>
      </c>
      <c r="B581" s="3" t="s">
        <v>83</v>
      </c>
      <c r="C581" s="3" t="s">
        <v>146</v>
      </c>
      <c r="D581" s="3" t="s">
        <v>150</v>
      </c>
      <c r="E581" s="3" t="s">
        <v>173</v>
      </c>
      <c r="F581" s="3" t="str">
        <f t="shared" si="2"/>
        <v>Masaje90minDeportivoLA SERENA</v>
      </c>
      <c r="G581" s="3">
        <v>63000</v>
      </c>
      <c r="H581" s="1">
        <v>31765</v>
      </c>
    </row>
    <row r="582" spans="1:8" ht="14.25" customHeight="1">
      <c r="A582" s="3" t="s">
        <v>82</v>
      </c>
      <c r="B582" s="3" t="s">
        <v>83</v>
      </c>
      <c r="C582" s="3" t="s">
        <v>120</v>
      </c>
      <c r="D582" s="3" t="s">
        <v>150</v>
      </c>
      <c r="E582" s="3" t="s">
        <v>173</v>
      </c>
      <c r="F582" s="3" t="str">
        <f t="shared" si="2"/>
        <v>Masaje120minDeportivoLA SERENA</v>
      </c>
      <c r="G582" s="3">
        <v>76000</v>
      </c>
      <c r="H582" s="1">
        <v>38319.327731092439</v>
      </c>
    </row>
    <row r="583" spans="1:8" ht="14.25" customHeight="1">
      <c r="A583" s="3" t="s">
        <v>82</v>
      </c>
      <c r="B583" s="3" t="s">
        <v>119</v>
      </c>
      <c r="C583" s="3" t="s">
        <v>84</v>
      </c>
      <c r="D583" s="3" t="s">
        <v>85</v>
      </c>
      <c r="E583" s="3" t="s">
        <v>173</v>
      </c>
      <c r="F583" s="3" t="str">
        <f t="shared" si="2"/>
        <v>Masaje60minRelajanteLA SERENA</v>
      </c>
      <c r="G583" s="3">
        <v>45000</v>
      </c>
      <c r="H583" s="1">
        <v>22689</v>
      </c>
    </row>
    <row r="584" spans="1:8" ht="14.25" customHeight="1">
      <c r="A584" s="3" t="s">
        <v>82</v>
      </c>
      <c r="B584" s="3" t="s">
        <v>119</v>
      </c>
      <c r="C584" s="3" t="s">
        <v>146</v>
      </c>
      <c r="D584" s="3" t="s">
        <v>85</v>
      </c>
      <c r="E584" s="3" t="s">
        <v>173</v>
      </c>
      <c r="F584" s="3" t="str">
        <f t="shared" si="2"/>
        <v>Masaje90minRelajanteLA SERENA</v>
      </c>
      <c r="G584" s="3">
        <v>63000</v>
      </c>
      <c r="H584" s="1">
        <v>31765</v>
      </c>
    </row>
    <row r="585" spans="1:8" ht="14.25" customHeight="1">
      <c r="A585" s="3" t="s">
        <v>82</v>
      </c>
      <c r="B585" s="3" t="s">
        <v>119</v>
      </c>
      <c r="C585" s="3" t="s">
        <v>120</v>
      </c>
      <c r="D585" s="3" t="s">
        <v>85</v>
      </c>
      <c r="E585" s="3" t="s">
        <v>173</v>
      </c>
      <c r="F585" s="3" t="str">
        <f t="shared" si="2"/>
        <v>Masaje120minRelajanteLA SERENA</v>
      </c>
      <c r="G585" s="3">
        <v>76000</v>
      </c>
      <c r="H585" s="1">
        <v>38319</v>
      </c>
    </row>
    <row r="586" spans="1:8" ht="14.25" customHeight="1">
      <c r="A586" s="3" t="s">
        <v>82</v>
      </c>
      <c r="B586" s="3" t="s">
        <v>119</v>
      </c>
      <c r="C586" s="3" t="s">
        <v>84</v>
      </c>
      <c r="D586" s="3" t="s">
        <v>100</v>
      </c>
      <c r="E586" s="3" t="s">
        <v>173</v>
      </c>
      <c r="F586" s="3" t="str">
        <f t="shared" si="2"/>
        <v>Masaje60minPrenatalLA SERENA</v>
      </c>
      <c r="G586" s="3">
        <v>45000</v>
      </c>
      <c r="H586" s="1">
        <v>22689</v>
      </c>
    </row>
    <row r="587" spans="1:8" ht="14.25" customHeight="1">
      <c r="A587" s="3" t="s">
        <v>82</v>
      </c>
      <c r="B587" s="3" t="s">
        <v>119</v>
      </c>
      <c r="C587" s="3" t="s">
        <v>146</v>
      </c>
      <c r="D587" s="3" t="s">
        <v>100</v>
      </c>
      <c r="E587" s="3" t="s">
        <v>173</v>
      </c>
      <c r="F587" s="3" t="str">
        <f t="shared" si="2"/>
        <v>Masaje90minPrenatalLA SERENA</v>
      </c>
      <c r="G587" s="3">
        <v>63000</v>
      </c>
      <c r="H587" s="1">
        <v>31765</v>
      </c>
    </row>
    <row r="588" spans="1:8" ht="14.25" customHeight="1">
      <c r="A588" s="3" t="s">
        <v>82</v>
      </c>
      <c r="B588" s="3" t="s">
        <v>119</v>
      </c>
      <c r="C588" s="3" t="s">
        <v>120</v>
      </c>
      <c r="D588" s="3" t="s">
        <v>100</v>
      </c>
      <c r="E588" s="3" t="s">
        <v>173</v>
      </c>
      <c r="F588" s="3" t="str">
        <f t="shared" si="2"/>
        <v>Masaje120minPrenatalLA SERENA</v>
      </c>
      <c r="G588" s="3">
        <v>76000</v>
      </c>
      <c r="H588" s="1">
        <v>38319</v>
      </c>
    </row>
    <row r="589" spans="1:8" ht="14.25" customHeight="1">
      <c r="A589" s="3" t="s">
        <v>82</v>
      </c>
      <c r="B589" s="3" t="s">
        <v>119</v>
      </c>
      <c r="C589" s="3" t="s">
        <v>84</v>
      </c>
      <c r="D589" s="3" t="s">
        <v>123</v>
      </c>
      <c r="E589" s="3" t="s">
        <v>173</v>
      </c>
      <c r="F589" s="3" t="str">
        <f t="shared" si="2"/>
        <v>Masaje60minTejido profundoLA SERENA</v>
      </c>
      <c r="G589" s="3">
        <v>45000</v>
      </c>
      <c r="H589" s="1">
        <v>22689.0756302521</v>
      </c>
    </row>
    <row r="590" spans="1:8" ht="14.25" customHeight="1">
      <c r="A590" s="3" t="s">
        <v>82</v>
      </c>
      <c r="B590" s="3" t="s">
        <v>119</v>
      </c>
      <c r="C590" s="3" t="s">
        <v>146</v>
      </c>
      <c r="D590" s="3" t="s">
        <v>123</v>
      </c>
      <c r="E590" s="3" t="s">
        <v>173</v>
      </c>
      <c r="F590" s="3" t="str">
        <f t="shared" si="2"/>
        <v>Masaje90minTejido profundoLA SERENA</v>
      </c>
      <c r="G590" s="3">
        <v>63000</v>
      </c>
      <c r="H590" s="1">
        <v>31765</v>
      </c>
    </row>
    <row r="591" spans="1:8" ht="14.25" customHeight="1">
      <c r="A591" s="3" t="s">
        <v>82</v>
      </c>
      <c r="B591" s="3" t="s">
        <v>119</v>
      </c>
      <c r="C591" s="3" t="s">
        <v>120</v>
      </c>
      <c r="D591" s="3" t="s">
        <v>123</v>
      </c>
      <c r="E591" s="3" t="s">
        <v>173</v>
      </c>
      <c r="F591" s="3" t="str">
        <f t="shared" si="2"/>
        <v>Masaje120minTejido profundoLA SERENA</v>
      </c>
      <c r="G591" s="3">
        <v>76000</v>
      </c>
      <c r="H591" s="1">
        <v>38319.327731092439</v>
      </c>
    </row>
    <row r="592" spans="1:8" ht="14.25" customHeight="1">
      <c r="A592" s="3" t="s">
        <v>82</v>
      </c>
      <c r="B592" s="3" t="s">
        <v>119</v>
      </c>
      <c r="C592" s="3" t="s">
        <v>84</v>
      </c>
      <c r="D592" s="3" t="s">
        <v>150</v>
      </c>
      <c r="E592" s="3" t="s">
        <v>173</v>
      </c>
      <c r="F592" s="3" t="str">
        <f t="shared" si="2"/>
        <v>Masaje60minDeportivoLA SERENA</v>
      </c>
      <c r="G592" s="3">
        <v>45000</v>
      </c>
      <c r="H592" s="1">
        <v>22689.0756302521</v>
      </c>
    </row>
    <row r="593" spans="1:8" ht="14.25" customHeight="1">
      <c r="A593" s="3" t="s">
        <v>82</v>
      </c>
      <c r="B593" s="3" t="s">
        <v>119</v>
      </c>
      <c r="C593" s="3" t="s">
        <v>146</v>
      </c>
      <c r="D593" s="3" t="s">
        <v>150</v>
      </c>
      <c r="E593" s="3" t="s">
        <v>173</v>
      </c>
      <c r="F593" s="3" t="str">
        <f t="shared" si="2"/>
        <v>Masaje90minDeportivoLA SERENA</v>
      </c>
      <c r="G593" s="3">
        <v>63000</v>
      </c>
      <c r="H593" s="1">
        <v>31765</v>
      </c>
    </row>
    <row r="594" spans="1:8" ht="14.25" customHeight="1">
      <c r="A594" s="3" t="s">
        <v>82</v>
      </c>
      <c r="B594" s="3" t="s">
        <v>119</v>
      </c>
      <c r="C594" s="3" t="s">
        <v>120</v>
      </c>
      <c r="D594" s="3" t="s">
        <v>150</v>
      </c>
      <c r="E594" s="3" t="s">
        <v>173</v>
      </c>
      <c r="F594" s="3" t="str">
        <f t="shared" si="2"/>
        <v>Masaje120minDeportivoLA SERENA</v>
      </c>
      <c r="G594" s="3">
        <v>76000</v>
      </c>
      <c r="H594" s="1">
        <v>38319.327731092439</v>
      </c>
    </row>
    <row r="595" spans="1:8" ht="14.25" customHeight="1">
      <c r="A595" s="3" t="s">
        <v>82</v>
      </c>
      <c r="B595" s="3" t="s">
        <v>83</v>
      </c>
      <c r="C595" s="3" t="s">
        <v>84</v>
      </c>
      <c r="D595" s="3" t="s">
        <v>85</v>
      </c>
      <c r="E595" s="3" t="s">
        <v>267</v>
      </c>
      <c r="F595" s="3" t="str">
        <f t="shared" si="2"/>
        <v>Masaje60minRelajanteZONA IQUIQUE</v>
      </c>
      <c r="G595" s="1">
        <v>45000</v>
      </c>
      <c r="H595" s="1">
        <v>22689.0756302521</v>
      </c>
    </row>
    <row r="596" spans="1:8" ht="14.25" customHeight="1">
      <c r="A596" s="3" t="s">
        <v>163</v>
      </c>
      <c r="B596" s="3" t="s">
        <v>83</v>
      </c>
      <c r="C596" s="3" t="s">
        <v>84</v>
      </c>
      <c r="D596" s="3" t="s">
        <v>275</v>
      </c>
      <c r="E596" s="3" t="s">
        <v>101</v>
      </c>
      <c r="F596" s="3" t="str">
        <f t="shared" si="2"/>
        <v>Facial + Masaje60minFacial ISDIN by Scape + Tejido profundoCOLINA</v>
      </c>
      <c r="G596" s="1">
        <v>95000</v>
      </c>
      <c r="H596" s="1">
        <v>47889</v>
      </c>
    </row>
    <row r="597" spans="1:8" ht="14.25" customHeight="1">
      <c r="A597" s="3" t="s">
        <v>163</v>
      </c>
      <c r="B597" s="3" t="s">
        <v>83</v>
      </c>
      <c r="C597" s="3" t="s">
        <v>146</v>
      </c>
      <c r="D597" s="3" t="s">
        <v>227</v>
      </c>
      <c r="E597" s="3" t="s">
        <v>199</v>
      </c>
      <c r="F597" s="3" t="str">
        <f t="shared" si="2"/>
        <v>Facial + Masaje90minLimpieza profunda + Drenaje LinfáticoORIENTE</v>
      </c>
      <c r="G597" s="1">
        <v>115000</v>
      </c>
      <c r="H597" s="1">
        <v>57983</v>
      </c>
    </row>
    <row r="598" spans="1:8" ht="14.25" customHeight="1">
      <c r="A598" s="3" t="s">
        <v>165</v>
      </c>
      <c r="B598" s="3" t="s">
        <v>83</v>
      </c>
      <c r="C598" s="3" t="s">
        <v>84</v>
      </c>
      <c r="D598" s="3" t="s">
        <v>165</v>
      </c>
      <c r="E598" s="3" t="s">
        <v>199</v>
      </c>
      <c r="F598" s="3" t="str">
        <f t="shared" si="2"/>
        <v>Reductivo60minReductivoORIENTE</v>
      </c>
      <c r="G598" s="1">
        <v>52000</v>
      </c>
      <c r="H598" s="1">
        <f>G598/1.19*0.6</f>
        <v>26218.487394957981</v>
      </c>
    </row>
    <row r="599" spans="1:8" ht="14.25" customHeight="1">
      <c r="A599" s="3" t="s">
        <v>82</v>
      </c>
      <c r="B599" s="3" t="s">
        <v>83</v>
      </c>
      <c r="C599" s="3" t="s">
        <v>84</v>
      </c>
      <c r="D599" s="3" t="s">
        <v>85</v>
      </c>
      <c r="E599" s="3" t="s">
        <v>276</v>
      </c>
      <c r="F599" s="3" t="str">
        <f t="shared" si="2"/>
        <v>Masaje60minRelajanteZONA PUERTO MONTT</v>
      </c>
      <c r="G599" s="1">
        <v>45000</v>
      </c>
      <c r="H599" s="1">
        <v>22689</v>
      </c>
    </row>
    <row r="600" spans="1:8" ht="14.25" customHeight="1">
      <c r="A600" s="3" t="s">
        <v>82</v>
      </c>
      <c r="B600" s="3" t="s">
        <v>83</v>
      </c>
      <c r="C600" s="3" t="s">
        <v>84</v>
      </c>
      <c r="D600" s="3" t="s">
        <v>85</v>
      </c>
      <c r="E600" s="3" t="s">
        <v>277</v>
      </c>
      <c r="F600" s="3" t="str">
        <f t="shared" si="2"/>
        <v>Masaje60minRelajanteZONA PUERTO VARAS</v>
      </c>
      <c r="G600" s="1">
        <v>45000</v>
      </c>
      <c r="H600" s="1">
        <v>22689</v>
      </c>
    </row>
    <row r="601" spans="1:8" ht="14.25" customHeight="1">
      <c r="A601" s="3" t="s">
        <v>82</v>
      </c>
      <c r="B601" s="3" t="s">
        <v>83</v>
      </c>
      <c r="C601" s="3" t="s">
        <v>84</v>
      </c>
      <c r="D601" s="3" t="s">
        <v>123</v>
      </c>
      <c r="E601" s="3" t="s">
        <v>276</v>
      </c>
      <c r="F601" s="3" t="str">
        <f t="shared" si="2"/>
        <v>Masaje60minTejido profundoZONA PUERTO MONTT</v>
      </c>
      <c r="G601" s="1">
        <v>45000</v>
      </c>
      <c r="H601" s="1">
        <v>22689</v>
      </c>
    </row>
    <row r="602" spans="1:8" ht="14.25" customHeight="1">
      <c r="A602" s="3" t="s">
        <v>82</v>
      </c>
      <c r="B602" s="3" t="s">
        <v>83</v>
      </c>
      <c r="C602" s="3" t="s">
        <v>84</v>
      </c>
      <c r="D602" s="3" t="s">
        <v>123</v>
      </c>
      <c r="E602" s="3" t="s">
        <v>277</v>
      </c>
      <c r="F602" s="3" t="str">
        <f t="shared" si="2"/>
        <v>Masaje60minTejido profundoZONA PUERTO VARAS</v>
      </c>
      <c r="G602" s="1">
        <v>45000</v>
      </c>
      <c r="H602" s="1">
        <v>22689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24"/>
  <sheetViews>
    <sheetView showGridLines="0" workbookViewId="0">
      <selection activeCell="C17" sqref="C17"/>
    </sheetView>
  </sheetViews>
  <sheetFormatPr baseColWidth="10" defaultColWidth="12.75" defaultRowHeight="15" customHeight="1"/>
  <cols>
    <col min="1" max="1" width="10.75" customWidth="1"/>
    <col min="2" max="2" width="40.875" bestFit="1" customWidth="1"/>
    <col min="3" max="3" width="15.75" bestFit="1" customWidth="1"/>
    <col min="4" max="26" width="10.75" customWidth="1"/>
  </cols>
  <sheetData>
    <row r="2" spans="2:3" ht="14.25" customHeight="1">
      <c r="B2" s="77" t="s">
        <v>6</v>
      </c>
      <c r="C2" s="40" t="s">
        <v>454</v>
      </c>
    </row>
    <row r="3" spans="2:3" ht="14.25" customHeight="1">
      <c r="B3" s="77" t="s">
        <v>98</v>
      </c>
      <c r="C3" s="77" t="s">
        <v>4</v>
      </c>
    </row>
    <row r="4" spans="2:3" ht="14.25" customHeight="1">
      <c r="B4" s="77" t="s">
        <v>278</v>
      </c>
      <c r="C4" s="40" t="s">
        <v>454</v>
      </c>
    </row>
    <row r="5" spans="2:3" ht="14.25" customHeight="1">
      <c r="B5" s="77" t="s">
        <v>135</v>
      </c>
      <c r="C5" s="127" t="s">
        <v>532</v>
      </c>
    </row>
    <row r="6" spans="2:3" ht="14.25" customHeight="1">
      <c r="B6" s="128" t="s">
        <v>273</v>
      </c>
      <c r="C6" s="128" t="s">
        <v>4</v>
      </c>
    </row>
    <row r="7" spans="2:3" ht="14.25" customHeight="1">
      <c r="B7" s="77" t="s">
        <v>279</v>
      </c>
      <c r="C7" s="77" t="s">
        <v>4</v>
      </c>
    </row>
    <row r="8" spans="2:3" ht="14.25" customHeight="1">
      <c r="B8" s="77" t="s">
        <v>117</v>
      </c>
      <c r="C8" s="77" t="s">
        <v>4</v>
      </c>
    </row>
    <row r="9" spans="2:3" ht="14.25" customHeight="1">
      <c r="B9" s="77" t="s">
        <v>145</v>
      </c>
      <c r="C9" s="40" t="s">
        <v>453</v>
      </c>
    </row>
    <row r="10" spans="2:3" ht="14.25" customHeight="1">
      <c r="B10" s="77" t="s">
        <v>170</v>
      </c>
      <c r="C10" s="127" t="s">
        <v>533</v>
      </c>
    </row>
    <row r="11" spans="2:3" ht="14.25" customHeight="1">
      <c r="B11" s="77" t="s">
        <v>172</v>
      </c>
      <c r="C11" s="77" t="s">
        <v>4</v>
      </c>
    </row>
    <row r="12" spans="2:3" ht="14.25" customHeight="1">
      <c r="B12" s="77" t="s">
        <v>280</v>
      </c>
      <c r="C12" s="40" t="s">
        <v>453</v>
      </c>
    </row>
    <row r="13" spans="2:3" ht="14.25" customHeight="1">
      <c r="B13" s="77" t="s">
        <v>99</v>
      </c>
      <c r="C13" s="77" t="s">
        <v>4</v>
      </c>
    </row>
    <row r="14" spans="2:3" ht="14.25" customHeight="1">
      <c r="B14" s="129" t="s">
        <v>442</v>
      </c>
      <c r="C14" s="127" t="s">
        <v>532</v>
      </c>
    </row>
    <row r="15" spans="2:3" ht="14.25" customHeight="1">
      <c r="B15" s="129" t="s">
        <v>441</v>
      </c>
      <c r="C15" s="40" t="s">
        <v>454</v>
      </c>
    </row>
    <row r="16" spans="2:3" ht="14.25" customHeight="1">
      <c r="B16" s="77" t="s">
        <v>5</v>
      </c>
      <c r="C16" s="121" t="s">
        <v>452</v>
      </c>
    </row>
    <row r="17" spans="2:3" ht="15" customHeight="1">
      <c r="B17" s="77" t="s">
        <v>164</v>
      </c>
      <c r="C17" s="77" t="s">
        <v>4</v>
      </c>
    </row>
    <row r="18" spans="2:3" ht="15" customHeight="1">
      <c r="B18" s="77" t="s">
        <v>281</v>
      </c>
      <c r="C18" s="40" t="s">
        <v>453</v>
      </c>
    </row>
    <row r="19" spans="2:3" ht="15" customHeight="1">
      <c r="B19" s="129" t="s">
        <v>327</v>
      </c>
      <c r="C19" s="77" t="s">
        <v>3</v>
      </c>
    </row>
    <row r="20" spans="2:3" ht="15" customHeight="1">
      <c r="B20" s="129" t="s">
        <v>515</v>
      </c>
      <c r="C20" s="40" t="s">
        <v>453</v>
      </c>
    </row>
    <row r="21" spans="2:3" ht="15" customHeight="1">
      <c r="B21" s="129" t="s">
        <v>518</v>
      </c>
      <c r="C21" s="40" t="s">
        <v>454</v>
      </c>
    </row>
    <row r="22" spans="2:3" ht="15" customHeight="1">
      <c r="B22" s="129" t="s">
        <v>527</v>
      </c>
      <c r="C22" s="127" t="s">
        <v>533</v>
      </c>
    </row>
    <row r="23" spans="2:3" ht="15" customHeight="1">
      <c r="B23" s="129" t="s">
        <v>528</v>
      </c>
      <c r="C23" s="125" t="s">
        <v>454</v>
      </c>
    </row>
    <row r="24" spans="2:3" ht="15" customHeight="1">
      <c r="B24" s="129" t="s">
        <v>522</v>
      </c>
      <c r="C24" s="125" t="s">
        <v>453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Eventos B2B_MKT y Turnos DT</vt:lpstr>
      <vt:lpstr>Incidencias</vt:lpstr>
      <vt:lpstr>Detalle para terapeutas</vt:lpstr>
      <vt:lpstr>BASE</vt:lpstr>
      <vt:lpstr>Nómina</vt:lpstr>
      <vt:lpstr>Cobro Hoteles</vt:lpstr>
      <vt:lpstr>Precios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Palau</dc:creator>
  <cp:lastModifiedBy>Carlos Perales</cp:lastModifiedBy>
  <dcterms:created xsi:type="dcterms:W3CDTF">2024-08-16T15:43:50Z</dcterms:created>
  <dcterms:modified xsi:type="dcterms:W3CDTF">2026-07-16T23:37:33Z</dcterms:modified>
</cp:coreProperties>
</file>